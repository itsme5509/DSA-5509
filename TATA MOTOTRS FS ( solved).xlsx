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8_{67CEA8E9-2415-43BB-9365-6520DE6DBF06}" xr6:coauthVersionLast="47" xr6:coauthVersionMax="47" xr10:uidLastSave="{00000000-0000-0000-0000-000000000000}"/>
  <bookViews>
    <workbookView xWindow="-120" yWindow="-120" windowWidth="19440" windowHeight="11040" firstSheet="3" activeTab="6" xr2:uid="{00000000-000D-0000-FFFF-FFFF00000000}"/>
  </bookViews>
  <sheets>
    <sheet name="PL" sheetId="2" r:id="rId1"/>
    <sheet name="BS" sheetId="1" r:id="rId2"/>
    <sheet name="P&amp;L assumptions " sheetId="3" r:id="rId3"/>
    <sheet name="Balance sheet Assumption " sheetId="4" r:id="rId4"/>
    <sheet name="FREE CASH FLOW" sheetId="5" r:id="rId5"/>
    <sheet name="WACC" sheetId="6" r:id="rId6"/>
    <sheet name="Ev &amp; Sesnsitivity Analysi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7" l="1"/>
  <c r="G13" i="7" s="1"/>
  <c r="G7" i="7"/>
  <c r="G8" i="7" s="1"/>
  <c r="K7" i="7"/>
  <c r="K8" i="7" s="1"/>
  <c r="J7" i="7"/>
  <c r="J8" i="7" s="1"/>
  <c r="I7" i="7"/>
  <c r="I8" i="7" s="1"/>
  <c r="H7" i="7"/>
  <c r="H8" i="7" s="1"/>
  <c r="K6" i="7"/>
  <c r="J6" i="7"/>
  <c r="I6" i="7"/>
  <c r="H6" i="7"/>
  <c r="G6" i="7"/>
  <c r="K5" i="7"/>
  <c r="J5" i="7"/>
  <c r="I5" i="7"/>
  <c r="H5" i="7"/>
  <c r="G5" i="7"/>
  <c r="F6" i="7"/>
  <c r="C3" i="7"/>
  <c r="B3" i="7"/>
  <c r="C26" i="6"/>
  <c r="G25" i="6"/>
  <c r="F25" i="6"/>
  <c r="E25" i="6"/>
  <c r="D25" i="6"/>
  <c r="C25" i="6"/>
  <c r="C16" i="6"/>
  <c r="D19" i="6"/>
  <c r="E19" i="6"/>
  <c r="F19" i="6"/>
  <c r="G19" i="6"/>
  <c r="C19" i="6"/>
  <c r="C20" i="6"/>
  <c r="D20" i="6"/>
  <c r="E20" i="6"/>
  <c r="F20" i="6"/>
  <c r="G20" i="6"/>
  <c r="B20" i="6"/>
  <c r="C21" i="6"/>
  <c r="C9" i="6"/>
  <c r="D9" i="6"/>
  <c r="E9" i="6"/>
  <c r="F9" i="6"/>
  <c r="G9" i="6"/>
  <c r="B9" i="6"/>
  <c r="C8" i="6"/>
  <c r="C10" i="6" s="1"/>
  <c r="D8" i="6"/>
  <c r="D10" i="6" s="1"/>
  <c r="D23" i="6" s="1"/>
  <c r="E8" i="6"/>
  <c r="E10" i="6" s="1"/>
  <c r="F8" i="6"/>
  <c r="F10" i="6" s="1"/>
  <c r="G8" i="6"/>
  <c r="G10" i="6" s="1"/>
  <c r="B8" i="6"/>
  <c r="C6" i="6"/>
  <c r="C12" i="6" s="1"/>
  <c r="D6" i="6"/>
  <c r="E6" i="6"/>
  <c r="E12" i="6" s="1"/>
  <c r="F6" i="6"/>
  <c r="F12" i="6" s="1"/>
  <c r="G6" i="6"/>
  <c r="G12" i="6" s="1"/>
  <c r="B6" i="6"/>
  <c r="L22" i="5"/>
  <c r="K22" i="5"/>
  <c r="J22" i="5"/>
  <c r="I22" i="5"/>
  <c r="H22" i="5"/>
  <c r="G22" i="5"/>
  <c r="F22" i="5"/>
  <c r="E22" i="5"/>
  <c r="D22" i="5"/>
  <c r="L21" i="5"/>
  <c r="K21" i="5"/>
  <c r="J21" i="5"/>
  <c r="I21" i="5"/>
  <c r="H21" i="5"/>
  <c r="G21" i="5"/>
  <c r="F21" i="5"/>
  <c r="E21" i="5"/>
  <c r="D21" i="5"/>
  <c r="E20" i="5"/>
  <c r="F20" i="5"/>
  <c r="G20" i="5"/>
  <c r="H20" i="5"/>
  <c r="I20" i="5"/>
  <c r="J20" i="5"/>
  <c r="K20" i="5"/>
  <c r="L20" i="5"/>
  <c r="D20" i="5"/>
  <c r="E19" i="5"/>
  <c r="F19" i="5"/>
  <c r="G19" i="5"/>
  <c r="H19" i="5"/>
  <c r="I19" i="5"/>
  <c r="J19" i="5"/>
  <c r="K19" i="5"/>
  <c r="L19" i="5"/>
  <c r="D19" i="5"/>
  <c r="E18" i="5"/>
  <c r="F18" i="5"/>
  <c r="G18" i="5"/>
  <c r="H18" i="5"/>
  <c r="I18" i="5"/>
  <c r="J18" i="5"/>
  <c r="K18" i="5"/>
  <c r="L18" i="5"/>
  <c r="D18" i="5"/>
  <c r="E17" i="5"/>
  <c r="F17" i="5"/>
  <c r="G17" i="5"/>
  <c r="H17" i="5"/>
  <c r="I17" i="5"/>
  <c r="J17" i="5"/>
  <c r="K17" i="5"/>
  <c r="L17" i="5"/>
  <c r="D17" i="5"/>
  <c r="E16" i="5"/>
  <c r="F16" i="5"/>
  <c r="G16" i="5"/>
  <c r="H16" i="5"/>
  <c r="I16" i="5"/>
  <c r="J16" i="5"/>
  <c r="K16" i="5"/>
  <c r="L16" i="5"/>
  <c r="D16" i="5"/>
  <c r="E15" i="5"/>
  <c r="F15" i="5"/>
  <c r="G15" i="5"/>
  <c r="H15" i="5"/>
  <c r="I15" i="5"/>
  <c r="J15" i="5"/>
  <c r="K15" i="5"/>
  <c r="L15" i="5"/>
  <c r="D15" i="5"/>
  <c r="E14" i="5"/>
  <c r="F14" i="5"/>
  <c r="G14" i="5"/>
  <c r="H14" i="5"/>
  <c r="I14" i="5"/>
  <c r="J14" i="5"/>
  <c r="K14" i="5"/>
  <c r="L14" i="5"/>
  <c r="D14" i="5"/>
  <c r="E13" i="5"/>
  <c r="F13" i="5"/>
  <c r="G13" i="5"/>
  <c r="H13" i="5"/>
  <c r="I13" i="5"/>
  <c r="J13" i="5"/>
  <c r="K13" i="5"/>
  <c r="L13" i="5"/>
  <c r="D13" i="5"/>
  <c r="B20" i="5"/>
  <c r="B19" i="5"/>
  <c r="B18" i="5"/>
  <c r="B17" i="5"/>
  <c r="B16" i="5"/>
  <c r="B15" i="5"/>
  <c r="B14" i="5"/>
  <c r="B13" i="5"/>
  <c r="L11" i="5"/>
  <c r="K11" i="5"/>
  <c r="J11" i="5"/>
  <c r="I11" i="5"/>
  <c r="H11" i="5"/>
  <c r="G11" i="5"/>
  <c r="F11" i="5"/>
  <c r="E11" i="5"/>
  <c r="D11" i="5"/>
  <c r="L10" i="5"/>
  <c r="K10" i="5"/>
  <c r="J10" i="5"/>
  <c r="I10" i="5"/>
  <c r="H10" i="5"/>
  <c r="G10" i="5"/>
  <c r="F10" i="5"/>
  <c r="E10" i="5"/>
  <c r="D10" i="5"/>
  <c r="C10" i="5"/>
  <c r="L9" i="5"/>
  <c r="K9" i="5"/>
  <c r="J9" i="5"/>
  <c r="I9" i="5"/>
  <c r="H9" i="5"/>
  <c r="G9" i="5"/>
  <c r="F9" i="5"/>
  <c r="E9" i="5"/>
  <c r="D9" i="5"/>
  <c r="C9" i="5"/>
  <c r="B9" i="5"/>
  <c r="L8" i="5"/>
  <c r="K8" i="5"/>
  <c r="J8" i="5"/>
  <c r="I8" i="5"/>
  <c r="H8" i="5"/>
  <c r="G8" i="5"/>
  <c r="F8" i="5"/>
  <c r="E8" i="5"/>
  <c r="D8" i="5"/>
  <c r="C8" i="5"/>
  <c r="C6" i="5"/>
  <c r="L6" i="5"/>
  <c r="K6" i="5"/>
  <c r="J6" i="5"/>
  <c r="I6" i="5"/>
  <c r="H6" i="5"/>
  <c r="G6" i="5"/>
  <c r="F6" i="5"/>
  <c r="E6" i="5"/>
  <c r="D6" i="5"/>
  <c r="G7" i="5"/>
  <c r="F7" i="5"/>
  <c r="E7" i="5"/>
  <c r="D7" i="5"/>
  <c r="C7" i="5"/>
  <c r="F29" i="3"/>
  <c r="E29" i="3"/>
  <c r="D29" i="3"/>
  <c r="C29" i="3"/>
  <c r="B29" i="3"/>
  <c r="L5" i="5"/>
  <c r="K5" i="5"/>
  <c r="J5" i="5"/>
  <c r="I5" i="5"/>
  <c r="H5" i="5"/>
  <c r="G5" i="5"/>
  <c r="F5" i="5"/>
  <c r="E5" i="5"/>
  <c r="D5" i="5"/>
  <c r="C5" i="5"/>
  <c r="B5" i="5"/>
  <c r="H52" i="4"/>
  <c r="C52" i="4"/>
  <c r="L59" i="4"/>
  <c r="K59" i="4"/>
  <c r="J59" i="4"/>
  <c r="I59" i="4"/>
  <c r="H59" i="4"/>
  <c r="G59" i="4"/>
  <c r="F59" i="4"/>
  <c r="E59" i="4"/>
  <c r="D59" i="4"/>
  <c r="L58" i="4"/>
  <c r="K58" i="4"/>
  <c r="J58" i="4"/>
  <c r="I58" i="4"/>
  <c r="H58" i="4"/>
  <c r="G58" i="4"/>
  <c r="F58" i="4"/>
  <c r="E58" i="4"/>
  <c r="D58" i="4"/>
  <c r="C58" i="4"/>
  <c r="C59" i="4" s="1"/>
  <c r="L52" i="4"/>
  <c r="K52" i="4"/>
  <c r="J52" i="4"/>
  <c r="I52" i="4"/>
  <c r="L53" i="4"/>
  <c r="K53" i="4"/>
  <c r="J53" i="4"/>
  <c r="I53" i="4"/>
  <c r="H53" i="4"/>
  <c r="G53" i="4"/>
  <c r="F53" i="4"/>
  <c r="E53" i="4"/>
  <c r="D53" i="4"/>
  <c r="C53" i="4"/>
  <c r="B59" i="4"/>
  <c r="B58" i="4"/>
  <c r="L56" i="4"/>
  <c r="K56" i="4"/>
  <c r="J56" i="4"/>
  <c r="I56" i="4"/>
  <c r="H56" i="4"/>
  <c r="L57" i="4"/>
  <c r="K57" i="4"/>
  <c r="J57" i="4"/>
  <c r="I57" i="4"/>
  <c r="H57" i="4"/>
  <c r="G57" i="4"/>
  <c r="F57" i="4"/>
  <c r="E57" i="4"/>
  <c r="D57" i="4"/>
  <c r="G56" i="4"/>
  <c r="F56" i="4"/>
  <c r="C57" i="4"/>
  <c r="B57" i="4"/>
  <c r="E56" i="4"/>
  <c r="D56" i="4"/>
  <c r="C56" i="4"/>
  <c r="B56" i="4"/>
  <c r="L54" i="4"/>
  <c r="K54" i="4"/>
  <c r="J54" i="4"/>
  <c r="I54" i="4"/>
  <c r="H54" i="4"/>
  <c r="L55" i="4"/>
  <c r="K55" i="4"/>
  <c r="J55" i="4"/>
  <c r="I55" i="4"/>
  <c r="H55" i="4"/>
  <c r="G55" i="4"/>
  <c r="F55" i="4"/>
  <c r="E55" i="4"/>
  <c r="D55" i="4"/>
  <c r="C55" i="4"/>
  <c r="G54" i="4"/>
  <c r="F54" i="4"/>
  <c r="E54" i="4"/>
  <c r="D54" i="4"/>
  <c r="C54" i="4"/>
  <c r="B54" i="4"/>
  <c r="G52" i="4"/>
  <c r="F52" i="4"/>
  <c r="E52" i="4"/>
  <c r="D52" i="4"/>
  <c r="B52" i="4"/>
  <c r="L50" i="4"/>
  <c r="K50" i="4"/>
  <c r="J50" i="4"/>
  <c r="I50" i="4"/>
  <c r="H50" i="4"/>
  <c r="L51" i="4"/>
  <c r="K51" i="4"/>
  <c r="J51" i="4"/>
  <c r="I51" i="4"/>
  <c r="C51" i="4"/>
  <c r="H51" i="4"/>
  <c r="G51" i="4"/>
  <c r="F51" i="4"/>
  <c r="E51" i="4"/>
  <c r="D51" i="4"/>
  <c r="G50" i="4"/>
  <c r="F50" i="4"/>
  <c r="E50" i="4"/>
  <c r="D50" i="4"/>
  <c r="C50" i="4"/>
  <c r="B50" i="4"/>
  <c r="L48" i="4"/>
  <c r="K48" i="4"/>
  <c r="J48" i="4"/>
  <c r="I48" i="4"/>
  <c r="H49" i="4"/>
  <c r="H48" i="4" s="1"/>
  <c r="L49" i="4"/>
  <c r="K49" i="4"/>
  <c r="J49" i="4"/>
  <c r="I49" i="4"/>
  <c r="C49" i="4"/>
  <c r="G49" i="4"/>
  <c r="F49" i="4"/>
  <c r="E49" i="4"/>
  <c r="D49" i="4"/>
  <c r="G48" i="4"/>
  <c r="F48" i="4"/>
  <c r="E48" i="4"/>
  <c r="D48" i="4"/>
  <c r="C48" i="4"/>
  <c r="B48" i="4"/>
  <c r="L46" i="4"/>
  <c r="K46" i="4"/>
  <c r="J46" i="4"/>
  <c r="I46" i="4"/>
  <c r="H46" i="4"/>
  <c r="L47" i="4"/>
  <c r="K47" i="4"/>
  <c r="J47" i="4"/>
  <c r="I47" i="4"/>
  <c r="H47" i="4"/>
  <c r="G47" i="4"/>
  <c r="F47" i="4"/>
  <c r="E47" i="4"/>
  <c r="D47" i="4"/>
  <c r="C47" i="4"/>
  <c r="B47" i="4"/>
  <c r="G46" i="4"/>
  <c r="F46" i="4"/>
  <c r="E46" i="4"/>
  <c r="D46" i="4"/>
  <c r="C46" i="4"/>
  <c r="B46" i="4"/>
  <c r="B45" i="4"/>
  <c r="C44" i="4"/>
  <c r="L44" i="4"/>
  <c r="K44" i="4"/>
  <c r="J44" i="4"/>
  <c r="I44" i="4"/>
  <c r="H44" i="4"/>
  <c r="G44" i="4"/>
  <c r="F44" i="4"/>
  <c r="E44" i="4"/>
  <c r="D44" i="4"/>
  <c r="B44" i="4"/>
  <c r="L42" i="4"/>
  <c r="K42" i="4"/>
  <c r="J42" i="4"/>
  <c r="I42" i="4"/>
  <c r="H42" i="4"/>
  <c r="L43" i="4"/>
  <c r="K43" i="4"/>
  <c r="J43" i="4"/>
  <c r="I43" i="4"/>
  <c r="H43" i="4"/>
  <c r="G43" i="4"/>
  <c r="F43" i="4"/>
  <c r="E43" i="4"/>
  <c r="D43" i="4"/>
  <c r="C43" i="4"/>
  <c r="B43" i="4"/>
  <c r="G42" i="4"/>
  <c r="F42" i="4"/>
  <c r="E42" i="4"/>
  <c r="D42" i="4"/>
  <c r="C42" i="4"/>
  <c r="B42" i="4"/>
  <c r="L40" i="4"/>
  <c r="K40" i="4"/>
  <c r="J40" i="4"/>
  <c r="I40" i="4"/>
  <c r="H40" i="4"/>
  <c r="L41" i="4"/>
  <c r="K41" i="4"/>
  <c r="J41" i="4"/>
  <c r="I41" i="4"/>
  <c r="H41" i="4"/>
  <c r="G41" i="4"/>
  <c r="F41" i="4"/>
  <c r="E41" i="4"/>
  <c r="D41" i="4"/>
  <c r="C41" i="4"/>
  <c r="B41" i="4"/>
  <c r="G40" i="4"/>
  <c r="F40" i="4"/>
  <c r="E40" i="4"/>
  <c r="D40" i="4"/>
  <c r="C40" i="4"/>
  <c r="B40" i="4"/>
  <c r="L38" i="4"/>
  <c r="K38" i="4"/>
  <c r="J38" i="4"/>
  <c r="I38" i="4"/>
  <c r="H38" i="4"/>
  <c r="G38" i="4"/>
  <c r="F38" i="4"/>
  <c r="E38" i="4"/>
  <c r="D38" i="4"/>
  <c r="C38" i="4"/>
  <c r="B38" i="4"/>
  <c r="L36" i="4"/>
  <c r="K36" i="4"/>
  <c r="J36" i="4"/>
  <c r="I36" i="4"/>
  <c r="H36" i="4"/>
  <c r="L37" i="4"/>
  <c r="K37" i="4"/>
  <c r="J37" i="4"/>
  <c r="I37" i="4"/>
  <c r="H37" i="4"/>
  <c r="G37" i="4"/>
  <c r="F37" i="4"/>
  <c r="E37" i="4"/>
  <c r="D37" i="4"/>
  <c r="C37" i="4"/>
  <c r="B37" i="4"/>
  <c r="G36" i="4"/>
  <c r="F36" i="4"/>
  <c r="E36" i="4"/>
  <c r="D36" i="4"/>
  <c r="C36" i="4"/>
  <c r="B36" i="4"/>
  <c r="L33" i="4"/>
  <c r="K33" i="4"/>
  <c r="J33" i="4"/>
  <c r="I33" i="4"/>
  <c r="H33" i="4"/>
  <c r="L35" i="4"/>
  <c r="K35" i="4"/>
  <c r="J35" i="4"/>
  <c r="I35" i="4"/>
  <c r="H35" i="4"/>
  <c r="G33" i="4"/>
  <c r="F33" i="4"/>
  <c r="E33" i="4"/>
  <c r="D33" i="4"/>
  <c r="C33" i="4"/>
  <c r="B33" i="4"/>
  <c r="B32" i="4"/>
  <c r="B31" i="4"/>
  <c r="B29" i="4"/>
  <c r="B28" i="4"/>
  <c r="B27" i="4"/>
  <c r="G26" i="4"/>
  <c r="F26" i="4"/>
  <c r="E26" i="4"/>
  <c r="D26" i="4"/>
  <c r="C26" i="4"/>
  <c r="B26" i="4"/>
  <c r="G24" i="4"/>
  <c r="G25" i="4" s="1"/>
  <c r="F24" i="4"/>
  <c r="F25" i="4" s="1"/>
  <c r="E24" i="4"/>
  <c r="E25" i="4" s="1"/>
  <c r="D24" i="4"/>
  <c r="D25" i="4" s="1"/>
  <c r="C24" i="4"/>
  <c r="C25" i="4" s="1"/>
  <c r="B24" i="4"/>
  <c r="G22" i="4"/>
  <c r="G23" i="4" s="1"/>
  <c r="F22" i="4"/>
  <c r="F23" i="4" s="1"/>
  <c r="E22" i="4"/>
  <c r="E23" i="4" s="1"/>
  <c r="D22" i="4"/>
  <c r="D23" i="4" s="1"/>
  <c r="C22" i="4"/>
  <c r="C23" i="4" s="1"/>
  <c r="B22" i="4"/>
  <c r="G20" i="4"/>
  <c r="G21" i="4" s="1"/>
  <c r="F20" i="4"/>
  <c r="F21" i="4" s="1"/>
  <c r="E20" i="4"/>
  <c r="E21" i="4" s="1"/>
  <c r="D20" i="4"/>
  <c r="D21" i="4" s="1"/>
  <c r="C20" i="4"/>
  <c r="C21" i="4" s="1"/>
  <c r="B20" i="4"/>
  <c r="B19" i="4"/>
  <c r="B18" i="4"/>
  <c r="C16" i="4"/>
  <c r="D16" i="4"/>
  <c r="E16" i="4"/>
  <c r="F16" i="4"/>
  <c r="G16" i="4"/>
  <c r="B16" i="4"/>
  <c r="B15" i="4"/>
  <c r="B17" i="4" s="1"/>
  <c r="C14" i="4"/>
  <c r="D14" i="4"/>
  <c r="E14" i="4"/>
  <c r="F14" i="4"/>
  <c r="G14" i="4"/>
  <c r="B14" i="4"/>
  <c r="C12" i="4"/>
  <c r="D12" i="4"/>
  <c r="E12" i="4"/>
  <c r="F12" i="4"/>
  <c r="G12" i="4"/>
  <c r="H12" i="4"/>
  <c r="I12" i="4"/>
  <c r="J12" i="4"/>
  <c r="K12" i="4"/>
  <c r="L12" i="4"/>
  <c r="B12" i="4"/>
  <c r="C10" i="4"/>
  <c r="D10" i="4"/>
  <c r="E10" i="4"/>
  <c r="F10" i="4"/>
  <c r="G10" i="4"/>
  <c r="B10" i="4"/>
  <c r="B4" i="4"/>
  <c r="B5" i="4"/>
  <c r="B9" i="4"/>
  <c r="H8" i="4"/>
  <c r="I8" i="4"/>
  <c r="J8" i="4"/>
  <c r="K8" i="4"/>
  <c r="L8" i="4"/>
  <c r="C8" i="4"/>
  <c r="D8" i="4"/>
  <c r="E8" i="4"/>
  <c r="F8" i="4"/>
  <c r="G8" i="4"/>
  <c r="B8" i="4"/>
  <c r="C6" i="4"/>
  <c r="D6" i="4"/>
  <c r="E6" i="4"/>
  <c r="F6" i="4"/>
  <c r="G6" i="4"/>
  <c r="H6" i="4" s="1"/>
  <c r="I6" i="4" s="1"/>
  <c r="J6" i="4" s="1"/>
  <c r="K6" i="4" s="1"/>
  <c r="L6" i="4" s="1"/>
  <c r="B6" i="4"/>
  <c r="B30" i="3"/>
  <c r="C30" i="3"/>
  <c r="D30" i="3"/>
  <c r="E30" i="3"/>
  <c r="F30" i="3"/>
  <c r="G30" i="3"/>
  <c r="H30" i="3"/>
  <c r="I30" i="3"/>
  <c r="J30" i="3"/>
  <c r="K30" i="3"/>
  <c r="H28" i="3"/>
  <c r="I28" i="3"/>
  <c r="J28" i="3"/>
  <c r="K28" i="3"/>
  <c r="G28" i="3"/>
  <c r="B28" i="3"/>
  <c r="C28" i="3"/>
  <c r="D28" i="3"/>
  <c r="E28" i="3"/>
  <c r="F28" i="3"/>
  <c r="A28" i="3"/>
  <c r="C27" i="3"/>
  <c r="D27" i="3"/>
  <c r="E27" i="3"/>
  <c r="F27" i="3"/>
  <c r="G27" i="3"/>
  <c r="H27" i="3"/>
  <c r="I27" i="3"/>
  <c r="J27" i="3"/>
  <c r="K27" i="3"/>
  <c r="B27" i="3"/>
  <c r="G26" i="3"/>
  <c r="H26" i="3"/>
  <c r="I26" i="3"/>
  <c r="J26" i="3"/>
  <c r="K26" i="3"/>
  <c r="F26" i="3"/>
  <c r="B26" i="3"/>
  <c r="C26" i="3"/>
  <c r="D26" i="3"/>
  <c r="E26" i="3"/>
  <c r="A26" i="3"/>
  <c r="K25" i="3"/>
  <c r="J25" i="3"/>
  <c r="I25" i="3"/>
  <c r="H25" i="3"/>
  <c r="G25" i="3"/>
  <c r="F25" i="3"/>
  <c r="E25" i="3"/>
  <c r="D25" i="3"/>
  <c r="C25" i="3"/>
  <c r="B25" i="3"/>
  <c r="H24" i="3"/>
  <c r="I24" i="3"/>
  <c r="J24" i="3"/>
  <c r="K24" i="3"/>
  <c r="G24" i="3"/>
  <c r="B24" i="3"/>
  <c r="C24" i="3"/>
  <c r="D24" i="3"/>
  <c r="E24" i="3"/>
  <c r="F24" i="3"/>
  <c r="A24" i="3"/>
  <c r="H22" i="3"/>
  <c r="I22" i="3"/>
  <c r="J22" i="3"/>
  <c r="K22" i="3"/>
  <c r="G22" i="3"/>
  <c r="K23" i="3"/>
  <c r="J23" i="3"/>
  <c r="I23" i="3"/>
  <c r="H23" i="3"/>
  <c r="G23" i="3"/>
  <c r="F23" i="3"/>
  <c r="E23" i="3"/>
  <c r="D23" i="3"/>
  <c r="C23" i="3"/>
  <c r="B23" i="3"/>
  <c r="A23" i="3"/>
  <c r="B22" i="3"/>
  <c r="C22" i="3"/>
  <c r="D22" i="3"/>
  <c r="E22" i="3"/>
  <c r="F22" i="3"/>
  <c r="A22" i="3"/>
  <c r="K21" i="3"/>
  <c r="J21" i="3"/>
  <c r="I21" i="3"/>
  <c r="H21" i="3"/>
  <c r="G21" i="3"/>
  <c r="F21" i="3"/>
  <c r="E21" i="3"/>
  <c r="D21" i="3"/>
  <c r="C21" i="3"/>
  <c r="B21" i="3"/>
  <c r="K19" i="3"/>
  <c r="J19" i="3"/>
  <c r="I19" i="3"/>
  <c r="H19" i="3"/>
  <c r="G19" i="3"/>
  <c r="K20" i="3"/>
  <c r="J20" i="3"/>
  <c r="I20" i="3"/>
  <c r="H20" i="3"/>
  <c r="G20" i="3"/>
  <c r="F20" i="3"/>
  <c r="E20" i="3"/>
  <c r="D20" i="3"/>
  <c r="C20" i="3"/>
  <c r="B20" i="3"/>
  <c r="A20" i="3"/>
  <c r="F19" i="3"/>
  <c r="E19" i="3"/>
  <c r="D19" i="3"/>
  <c r="C19" i="3"/>
  <c r="B19" i="3"/>
  <c r="A19" i="3"/>
  <c r="K18" i="3"/>
  <c r="J18" i="3"/>
  <c r="I18" i="3"/>
  <c r="H18" i="3"/>
  <c r="G18" i="3"/>
  <c r="F18" i="3"/>
  <c r="E18" i="3"/>
  <c r="D18" i="3"/>
  <c r="C18" i="3"/>
  <c r="B18" i="3"/>
  <c r="K16" i="3"/>
  <c r="J16" i="3"/>
  <c r="I16" i="3"/>
  <c r="H16" i="3"/>
  <c r="G16" i="3"/>
  <c r="K17" i="3"/>
  <c r="J17" i="3"/>
  <c r="I17" i="3"/>
  <c r="H17" i="3"/>
  <c r="G17" i="3"/>
  <c r="F17" i="3"/>
  <c r="E17" i="3"/>
  <c r="D17" i="3"/>
  <c r="C17" i="3"/>
  <c r="B17" i="3"/>
  <c r="A17" i="3"/>
  <c r="F16" i="3"/>
  <c r="E16" i="3"/>
  <c r="D16" i="3"/>
  <c r="C16" i="3"/>
  <c r="B16" i="3"/>
  <c r="A16" i="3"/>
  <c r="C13" i="3"/>
  <c r="D13" i="3"/>
  <c r="E13" i="3"/>
  <c r="F13" i="3"/>
  <c r="G13" i="3"/>
  <c r="H13" i="3"/>
  <c r="I13" i="3"/>
  <c r="J13" i="3"/>
  <c r="K13" i="3"/>
  <c r="B13" i="3"/>
  <c r="B14" i="3"/>
  <c r="B15" i="3" s="1"/>
  <c r="C14" i="3"/>
  <c r="C15" i="3" s="1"/>
  <c r="D14" i="3"/>
  <c r="D15" i="3" s="1"/>
  <c r="E14" i="3"/>
  <c r="E15" i="3" s="1"/>
  <c r="F14" i="3"/>
  <c r="F15" i="3" s="1"/>
  <c r="A14" i="3"/>
  <c r="A12" i="3"/>
  <c r="A15" i="3" s="1"/>
  <c r="C11" i="3"/>
  <c r="C12" i="3" s="1"/>
  <c r="D11" i="3"/>
  <c r="D12" i="3" s="1"/>
  <c r="E11" i="3"/>
  <c r="E12" i="3" s="1"/>
  <c r="F11" i="3"/>
  <c r="F12" i="3" s="1"/>
  <c r="B11" i="3"/>
  <c r="B12" i="3" s="1"/>
  <c r="A9" i="3"/>
  <c r="B7" i="3"/>
  <c r="C7" i="3"/>
  <c r="D7" i="3"/>
  <c r="E7" i="3"/>
  <c r="F7" i="3"/>
  <c r="A7" i="3"/>
  <c r="B5" i="3"/>
  <c r="C5" i="3"/>
  <c r="C6" i="3" s="1"/>
  <c r="D5" i="3"/>
  <c r="D6" i="3" s="1"/>
  <c r="E5" i="3"/>
  <c r="E6" i="3" s="1"/>
  <c r="F5" i="3"/>
  <c r="F6" i="3" s="1"/>
  <c r="A5" i="3"/>
  <c r="A4" i="3"/>
  <c r="G11" i="7" l="1"/>
  <c r="G14" i="7" s="1"/>
  <c r="F18" i="7" s="1"/>
  <c r="C23" i="6"/>
  <c r="E23" i="6"/>
  <c r="F23" i="6"/>
  <c r="G23" i="6"/>
  <c r="C15" i="6"/>
  <c r="D12" i="6"/>
  <c r="C17" i="4"/>
  <c r="D17" i="4"/>
  <c r="E17" i="4"/>
  <c r="F17" i="4"/>
  <c r="G17" i="4"/>
  <c r="C15" i="4"/>
  <c r="D15" i="4"/>
  <c r="E15" i="4"/>
  <c r="F15" i="4"/>
  <c r="G15" i="4"/>
  <c r="G35" i="4"/>
  <c r="G34" i="4"/>
  <c r="F35" i="4"/>
  <c r="F34" i="4"/>
  <c r="E35" i="4"/>
  <c r="E34" i="4"/>
  <c r="D35" i="4"/>
  <c r="D34" i="4"/>
  <c r="C35" i="4"/>
  <c r="C34" i="4"/>
  <c r="G28" i="4"/>
  <c r="G29" i="4" s="1"/>
  <c r="G27" i="4"/>
  <c r="F28" i="4"/>
  <c r="F29" i="4" s="1"/>
  <c r="F27" i="4"/>
  <c r="E28" i="4"/>
  <c r="E27" i="4"/>
  <c r="D28" i="4"/>
  <c r="D27" i="4"/>
  <c r="C28" i="4"/>
  <c r="C27" i="4"/>
  <c r="H25" i="4"/>
  <c r="H24" i="4" s="1"/>
  <c r="I25" i="4"/>
  <c r="I24" i="4" s="1"/>
  <c r="J25" i="4"/>
  <c r="J24" i="4" s="1"/>
  <c r="K25" i="4"/>
  <c r="K24" i="4" s="1"/>
  <c r="L25" i="4"/>
  <c r="L24" i="4" s="1"/>
  <c r="H23" i="4"/>
  <c r="H22" i="4" s="1"/>
  <c r="I23" i="4"/>
  <c r="I22" i="4" s="1"/>
  <c r="J23" i="4"/>
  <c r="J22" i="4" s="1"/>
  <c r="K23" i="4"/>
  <c r="K22" i="4" s="1"/>
  <c r="L23" i="4"/>
  <c r="L22" i="4" s="1"/>
  <c r="H21" i="4"/>
  <c r="H20" i="4" s="1"/>
  <c r="I21" i="4"/>
  <c r="I20" i="4" s="1"/>
  <c r="J21" i="4"/>
  <c r="J20" i="4" s="1"/>
  <c r="K21" i="4"/>
  <c r="K20" i="4" s="1"/>
  <c r="L21" i="4"/>
  <c r="L20" i="4" s="1"/>
  <c r="C18" i="4"/>
  <c r="C11" i="4"/>
  <c r="D18" i="4"/>
  <c r="D11" i="4"/>
  <c r="E18" i="4"/>
  <c r="E11" i="4"/>
  <c r="F18" i="4"/>
  <c r="F11" i="4"/>
  <c r="G18" i="4"/>
  <c r="G11" i="4"/>
  <c r="G15" i="3"/>
  <c r="H15" i="3"/>
  <c r="I15" i="3"/>
  <c r="K15" i="3"/>
  <c r="J15" i="3"/>
  <c r="K12" i="3"/>
  <c r="J12" i="3"/>
  <c r="I12" i="3"/>
  <c r="H12" i="3"/>
  <c r="G12" i="3"/>
  <c r="B8" i="3"/>
  <c r="B9" i="3"/>
  <c r="C9" i="3"/>
  <c r="C8" i="3"/>
  <c r="D9" i="3"/>
  <c r="D8" i="3"/>
  <c r="E9" i="3"/>
  <c r="E8" i="3"/>
  <c r="F8" i="3"/>
  <c r="F9" i="3"/>
  <c r="G6" i="3"/>
  <c r="G5" i="3" s="1"/>
  <c r="I6" i="3"/>
  <c r="J6" i="3"/>
  <c r="H6" i="3"/>
  <c r="K6" i="3"/>
  <c r="E29" i="4" l="1"/>
  <c r="D29" i="4"/>
  <c r="C29" i="4"/>
  <c r="H17" i="4"/>
  <c r="H16" i="4" s="1"/>
  <c r="I17" i="4"/>
  <c r="I16" i="4" s="1"/>
  <c r="J17" i="4"/>
  <c r="J16" i="4" s="1"/>
  <c r="K17" i="4"/>
  <c r="K16" i="4" s="1"/>
  <c r="L17" i="4"/>
  <c r="L16" i="4" s="1"/>
  <c r="H15" i="4"/>
  <c r="H14" i="4" s="1"/>
  <c r="L15" i="4"/>
  <c r="L14" i="4" s="1"/>
  <c r="K15" i="4"/>
  <c r="K14" i="4" s="1"/>
  <c r="J15" i="4"/>
  <c r="J14" i="4" s="1"/>
  <c r="I15" i="4"/>
  <c r="I14" i="4" s="1"/>
  <c r="H27" i="4"/>
  <c r="H26" i="4" s="1"/>
  <c r="H28" i="4" s="1"/>
  <c r="I27" i="4"/>
  <c r="I26" i="4" s="1"/>
  <c r="I28" i="4" s="1"/>
  <c r="J27" i="4"/>
  <c r="J26" i="4" s="1"/>
  <c r="J28" i="4" s="1"/>
  <c r="K27" i="4"/>
  <c r="K26" i="4" s="1"/>
  <c r="K28" i="4" s="1"/>
  <c r="L27" i="4"/>
  <c r="L26" i="4" s="1"/>
  <c r="L28" i="4" s="1"/>
  <c r="I11" i="4"/>
  <c r="I10" i="4" s="1"/>
  <c r="L11" i="4"/>
  <c r="L10" i="4" s="1"/>
  <c r="H11" i="4"/>
  <c r="H10" i="4" s="1"/>
  <c r="J11" i="4"/>
  <c r="J10" i="4" s="1"/>
  <c r="K11" i="4"/>
  <c r="K10" i="4" s="1"/>
  <c r="K8" i="3"/>
  <c r="H8" i="3"/>
  <c r="J8" i="3"/>
  <c r="G8" i="3"/>
  <c r="G7" i="3" s="1"/>
  <c r="I8" i="3"/>
  <c r="H5" i="3"/>
  <c r="G9" i="3"/>
  <c r="G14" i="3"/>
  <c r="G11" i="3"/>
  <c r="I18" i="4" l="1"/>
  <c r="I29" i="4" s="1"/>
  <c r="L18" i="4"/>
  <c r="L29" i="4" s="1"/>
  <c r="H18" i="4"/>
  <c r="H29" i="4" s="1"/>
  <c r="J18" i="4"/>
  <c r="J29" i="4" s="1"/>
  <c r="K18" i="4"/>
  <c r="K29" i="4" s="1"/>
  <c r="H11" i="3"/>
  <c r="H14" i="3"/>
  <c r="H9" i="3"/>
  <c r="I5" i="3"/>
  <c r="H7" i="3"/>
  <c r="I7" i="3" l="1"/>
  <c r="I9" i="3" s="1"/>
  <c r="I11" i="3"/>
  <c r="I14" i="3"/>
  <c r="J5" i="3"/>
  <c r="J7" i="3" l="1"/>
  <c r="J9" i="3" s="1"/>
  <c r="J14" i="3"/>
  <c r="J11" i="3"/>
  <c r="K5" i="3"/>
  <c r="K7" i="3" l="1"/>
  <c r="K9" i="3" s="1"/>
  <c r="K11" i="3"/>
  <c r="K14" i="3"/>
</calcChain>
</file>

<file path=xl/sharedStrings.xml><?xml version="1.0" encoding="utf-8"?>
<sst xmlns="http://schemas.openxmlformats.org/spreadsheetml/2006/main" count="205" uniqueCount="157">
  <si>
    <t>Standalone Balance Sheet</t>
  </si>
  <si>
    <t>------------------- in Rs. Cr. -------------------</t>
  </si>
  <si>
    <t>12 mths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</si>
  <si>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</si>
  <si>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</si>
  <si>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</si>
  <si>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</si>
  <si>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</si>
  <si>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</si>
  <si>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</si>
  <si>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Equity Share Application Money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</si>
  <si>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</si>
  <si>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</si>
  <si>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</si>
  <si>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</si>
  <si>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</si>
  <si>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</si>
  <si>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</si>
  <si>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</si>
  <si>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</si>
  <si>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</si>
  <si>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</si>
  <si>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</si>
  <si>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</si>
  <si>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</si>
  <si>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</si>
  <si>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</si>
  <si>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</si>
  <si>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</si>
  <si>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Intangible Assets Under Development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</si>
  <si>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</si>
  <si>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</si>
  <si>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</si>
  <si>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</si>
  <si>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</si>
  <si>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</si>
  <si>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</si>
  <si>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</si>
  <si>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</si>
  <si>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</si>
  <si>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</si>
  <si>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</si>
  <si>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OtherCurrentAssets</t>
  </si>
  <si>
    <t>Total Current Assets</t>
  </si>
  <si>
    <t>Total Assets</t>
  </si>
  <si>
    <t>OTHER ADDITIONAL INFORMATION</t>
  </si>
  <si>
    <t>CONTINGENT LIABILITIES, COMMITMENTS</t>
  </si>
  <si>
    <t>Contingent Liabilities</t>
  </si>
  <si>
    <t>CIF VALUE OF IMPORTS</t>
  </si>
  <si>
    <t>EXPENDITURE IN FOREIGN EXCHANGE</t>
  </si>
  <si>
    <t>Expenditure In Foreign Currency</t>
  </si>
  <si>
    <t>REMITTANCES IN FOREIGN CURRENCIES FOR DIVIDENDS</t>
  </si>
  <si>
    <t>Dividend Remittance In Foreign Currency</t>
  </si>
  <si>
    <t>-</t>
  </si>
  <si>
    <t>EARNINGS IN FOREIGN EXCHANGE</t>
  </si>
  <si>
    <t>FOB Value Of Goods</t>
  </si>
  <si>
    <t>Other Earnings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</si>
  <si>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</si>
  <si>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</si>
  <si>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</si>
  <si>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</si>
  <si>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</si>
  <si>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</si>
  <si>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Quoted Market Value</t>
  </si>
  <si>
    <t>Current Investments Unquoted Book Value</t>
  </si>
  <si>
    <t>Tata Motors</t>
  </si>
  <si>
    <t>Standalone Profit &amp; Loss account</t>
  </si>
  <si>
    <t>INCOME</t>
  </si>
  <si>
    <t>Revenue From Operations [Gross]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</si>
  <si>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</si>
  <si>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</si>
  <si>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</si>
  <si>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</si>
  <si>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</si>
  <si>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</si>
  <si>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</si>
  <si>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</si>
  <si>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Operating And Direct Expenses</t>
  </si>
  <si>
    <t>Changes In Inventories Of FG,WIP And Stock-In Trade</t>
  </si>
  <si>
    <t>Employee Benefit Expenses</t>
  </si>
  <si>
    <t>Finance Costs</t>
  </si>
  <si>
    <t>Depreciation And Amortisation Expenses</t>
  </si>
  <si>
    <t>Other Expenses</t>
  </si>
  <si>
    <t>Less: Amounts Transfer To Capital Accounts</t>
  </si>
  <si>
    <t>Total Expenses</t>
  </si>
  <si>
    <t>Profit/Loss Before Exceptional, ExtraOrdinary Items And Tax</t>
  </si>
  <si>
    <t>Exceptional Items</t>
  </si>
  <si>
    <t>Profit/Loss Before Tax</t>
  </si>
  <si>
    <t>Tax Expenses-Continued Operations</t>
  </si>
  <si>
    <t>Current Tax</t>
  </si>
  <si>
    <t>Deferred Tax</t>
  </si>
  <si>
    <t>Total Tax Expenses</t>
  </si>
  <si>
    <t>Profit/Loss After Tax And Before ExtraOrdinary Items</t>
  </si>
  <si>
    <t>Profit/Loss From Continuing Operations</t>
  </si>
  <si>
    <t>Profit Loss From Discontinuing Operations</t>
  </si>
  <si>
    <t>Total Tax Expenses Discontinuing Operations</t>
  </si>
  <si>
    <t>Net Profit Loss From Discontinuing Operations</t>
  </si>
  <si>
    <t>Profit/Loss For The Period</t>
  </si>
  <si>
    <t>EARNINGS PER SHARE</t>
  </si>
  <si>
    <t>Basic EPS (Rs.)</t>
  </si>
  <si>
    <t>Diluted EPS (Rs.)</t>
  </si>
  <si>
    <t>VALUE OF IMPORTED AND INDIGENIOUS RAW MATERIALS</t>
  </si>
  <si>
    <t>STORES, SPARES AND LOOSE TOOLS</t>
  </si>
  <si>
    <t>DIVIDEND AND DIVIDEND PERCENTAGE</t>
  </si>
  <si>
    <t>Equity Share Dividend</t>
  </si>
  <si>
    <t>Equity Dividend Rate (%)</t>
  </si>
  <si>
    <r>
      <t>Source : </t>
    </r>
    <r>
      <rPr>
        <b/>
        <sz val="12"/>
        <color rgb="FFFB9646"/>
        <rFont val="Tahoma"/>
        <family val="2"/>
      </rPr>
      <t>Dion Global Solutions Limited</t>
    </r>
  </si>
  <si>
    <t>Historical Data</t>
  </si>
  <si>
    <t xml:space="preserve">FORECASTED DATA </t>
  </si>
  <si>
    <t>YoY Growth</t>
  </si>
  <si>
    <t xml:space="preserve">Percentage of sales </t>
  </si>
  <si>
    <t>Cost of goods Sold</t>
  </si>
  <si>
    <t>Gross Profit</t>
  </si>
  <si>
    <t>EBITDA</t>
  </si>
  <si>
    <t>EBIT</t>
  </si>
  <si>
    <t>EBT(BEFORE EXCEPTIONAL ITEMS)</t>
  </si>
  <si>
    <t>EBT</t>
  </si>
  <si>
    <t>Tax rate</t>
  </si>
  <si>
    <t>PAT ( FROM CONTINUED OPERATIONS)</t>
  </si>
  <si>
    <t>Last year TSF+ CY Profit</t>
  </si>
  <si>
    <t>Percentage of TSF</t>
  </si>
  <si>
    <t>No assumptions required</t>
  </si>
  <si>
    <t>Percentage of Sales</t>
  </si>
  <si>
    <t>Days Payable</t>
  </si>
  <si>
    <t>No Assumptions</t>
  </si>
  <si>
    <t>Days Inventory</t>
  </si>
  <si>
    <t>Days Receiveable</t>
  </si>
  <si>
    <t>Balancing Figure</t>
  </si>
  <si>
    <t>Percentage of sales</t>
  </si>
  <si>
    <t>Calculation of Free Cash Flow</t>
  </si>
  <si>
    <t>Tax</t>
  </si>
  <si>
    <t>NOPAT</t>
  </si>
  <si>
    <t>Gross Cash Flow</t>
  </si>
  <si>
    <t>Capex</t>
  </si>
  <si>
    <t>Changes in Working capital</t>
  </si>
  <si>
    <t>NET CHANGES IN WORKING CAPITAL</t>
  </si>
  <si>
    <t>FREE CASH FLOW OF THE FIRM</t>
  </si>
  <si>
    <t>CALCULATION OF WACC</t>
  </si>
  <si>
    <t>CALCULATION OF COST OF DEBT</t>
  </si>
  <si>
    <t>TOTAL BORROWINGS</t>
  </si>
  <si>
    <t>Cost of debt</t>
  </si>
  <si>
    <t>Average Cost of Debt</t>
  </si>
  <si>
    <t>CALCULATION OF COST OF EQUITY</t>
  </si>
  <si>
    <t>Cost of Equity (CAPM)</t>
  </si>
  <si>
    <t>Equity :Debt</t>
  </si>
  <si>
    <t>WACC</t>
  </si>
  <si>
    <t>Average cost of debt( after Tax)</t>
  </si>
  <si>
    <t>Average WACC</t>
  </si>
  <si>
    <t>ENTERPRISE VALUE &amp; SENSITIVITY ANALYSIS</t>
  </si>
  <si>
    <t>Discount Factor</t>
  </si>
  <si>
    <t>PV OF FCFF</t>
  </si>
  <si>
    <t>TV of PV FCFF</t>
  </si>
  <si>
    <t>Terminal Value( Perpetuity Method)</t>
  </si>
  <si>
    <t>Terminal Growth Rate (g)</t>
  </si>
  <si>
    <t>PV of TV</t>
  </si>
  <si>
    <t>Enterprise Value</t>
  </si>
  <si>
    <t>SENSITIVITY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</si>
</sst>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0000"/>
      <name val="Tahoma"/>
      <family val="2"/>
    </font>
    <font>
      <b/>
      <sz val="12"/>
      <color rgb="FFFB9646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B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11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17" fontId="3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2" borderId="0" xfId="1" applyFont="1" applyFill="1" applyAlignment="1">
      <alignment horizontal="right" vertical="center"/>
    </xf>
    <xf numFmtId="0" fontId="7" fillId="0" borderId="0" xfId="0" applyFont="1"/>
    <xf numFmtId="0" fontId="5" fillId="3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17" fontId="5" fillId="2" borderId="1" xfId="0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right" vertical="center"/>
    </xf>
    <xf numFmtId="4" fontId="5" fillId="2" borderId="1" xfId="0" applyNumberFormat="1" applyFont="1" applyFill="1" applyBorder="1" applyAlignment="1">
      <alignment horizontal="right" vertical="center"/>
    </xf>
    <xf numFmtId="4" fontId="8" fillId="2" borderId="1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0" fontId="7" fillId="2" borderId="0" xfId="0" applyFont="1" applyFill="1"/>
    <xf numFmtId="16" fontId="3" fillId="2" borderId="1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5" fillId="3" borderId="2" xfId="0" applyFont="1" applyFill="1" applyBorder="1" applyAlignment="1">
      <alignment vertical="center"/>
    </xf>
    <xf numFmtId="9" fontId="0" fillId="0" borderId="0" xfId="2" applyFont="1"/>
    <xf numFmtId="9" fontId="0" fillId="0" borderId="0" xfId="0" applyNumberFormat="1"/>
    <xf numFmtId="1" fontId="0" fillId="0" borderId="0" xfId="0" applyNumberFormat="1"/>
    <xf numFmtId="0" fontId="13" fillId="0" borderId="0" xfId="0" applyFont="1"/>
    <xf numFmtId="0" fontId="14" fillId="0" borderId="0" xfId="0" applyFont="1"/>
    <xf numFmtId="0" fontId="14" fillId="0" borderId="4" xfId="0" applyFont="1" applyBorder="1"/>
    <xf numFmtId="9" fontId="14" fillId="0" borderId="4" xfId="0" applyNumberFormat="1" applyFont="1" applyBorder="1"/>
    <xf numFmtId="9" fontId="14" fillId="0" borderId="0" xfId="0" applyNumberFormat="1" applyFont="1"/>
    <xf numFmtId="1" fontId="13" fillId="0" borderId="0" xfId="0" applyNumberFormat="1" applyFont="1"/>
    <xf numFmtId="0" fontId="15" fillId="2" borderId="1" xfId="0" applyFont="1" applyFill="1" applyBorder="1" applyAlignment="1">
      <alignment vertical="center"/>
    </xf>
    <xf numFmtId="1" fontId="15" fillId="2" borderId="1" xfId="0" applyNumberFormat="1" applyFont="1" applyFill="1" applyBorder="1" applyAlignment="1">
      <alignment vertical="center"/>
    </xf>
    <xf numFmtId="1" fontId="15" fillId="0" borderId="0" xfId="0" applyNumberFormat="1" applyFont="1"/>
    <xf numFmtId="9" fontId="15" fillId="0" borderId="0" xfId="2" applyFont="1"/>
    <xf numFmtId="9" fontId="15" fillId="0" borderId="0" xfId="0" applyNumberFormat="1" applyFont="1"/>
    <xf numFmtId="10" fontId="16" fillId="0" borderId="4" xfId="2" applyNumberFormat="1" applyFont="1" applyBorder="1"/>
    <xf numFmtId="10" fontId="16" fillId="0" borderId="4" xfId="0" applyNumberFormat="1" applyFont="1" applyBorder="1"/>
    <xf numFmtId="0" fontId="15" fillId="0" borderId="0" xfId="0" applyFont="1"/>
    <xf numFmtId="3" fontId="15" fillId="0" borderId="0" xfId="0" applyNumberFormat="1" applyFont="1"/>
    <xf numFmtId="0" fontId="16" fillId="0" borderId="4" xfId="0" applyFont="1" applyBorder="1"/>
    <xf numFmtId="9" fontId="15" fillId="0" borderId="4" xfId="2" applyFont="1" applyBorder="1"/>
    <xf numFmtId="9" fontId="15" fillId="0" borderId="4" xfId="0" applyNumberFormat="1" applyFont="1" applyBorder="1"/>
    <xf numFmtId="0" fontId="17" fillId="0" borderId="0" xfId="0" applyFont="1"/>
    <xf numFmtId="1" fontId="17" fillId="0" borderId="0" xfId="2" applyNumberFormat="1" applyFont="1"/>
    <xf numFmtId="0" fontId="16" fillId="0" borderId="0" xfId="0" applyFont="1"/>
    <xf numFmtId="9" fontId="16" fillId="0" borderId="0" xfId="0" applyNumberFormat="1" applyFont="1"/>
    <xf numFmtId="9" fontId="16" fillId="0" borderId="4" xfId="0" applyNumberFormat="1" applyFont="1" applyBorder="1"/>
    <xf numFmtId="1" fontId="17" fillId="0" borderId="0" xfId="0" applyNumberFormat="1" applyFont="1"/>
    <xf numFmtId="0" fontId="15" fillId="0" borderId="4" xfId="0" applyFont="1" applyBorder="1"/>
    <xf numFmtId="1" fontId="15" fillId="0" borderId="4" xfId="0" applyNumberFormat="1" applyFont="1" applyBorder="1"/>
    <xf numFmtId="0" fontId="15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15" fillId="2" borderId="2" xfId="0" applyFont="1" applyFill="1" applyBorder="1" applyAlignment="1">
      <alignment vertical="center"/>
    </xf>
    <xf numFmtId="1" fontId="15" fillId="2" borderId="2" xfId="0" applyNumberFormat="1" applyFont="1" applyFill="1" applyBorder="1" applyAlignment="1">
      <alignment vertical="center"/>
    </xf>
    <xf numFmtId="0" fontId="17" fillId="0" borderId="5" xfId="0" applyFont="1" applyBorder="1"/>
    <xf numFmtId="1" fontId="17" fillId="0" borderId="5" xfId="0" applyNumberFormat="1" applyFont="1" applyBorder="1"/>
    <xf numFmtId="1" fontId="14" fillId="0" borderId="0" xfId="0" applyNumberFormat="1" applyFont="1"/>
    <xf numFmtId="9" fontId="14" fillId="0" borderId="0" xfId="2" applyFont="1"/>
    <xf numFmtId="9" fontId="0" fillId="0" borderId="4" xfId="0" applyNumberFormat="1" applyBorder="1"/>
    <xf numFmtId="0" fontId="13" fillId="0" borderId="5" xfId="0" applyFont="1" applyBorder="1"/>
    <xf numFmtId="1" fontId="13" fillId="0" borderId="5" xfId="0" applyNumberFormat="1" applyFont="1" applyBorder="1"/>
    <xf numFmtId="0" fontId="13" fillId="0" borderId="6" xfId="0" applyFont="1" applyBorder="1"/>
    <xf numFmtId="1" fontId="13" fillId="0" borderId="6" xfId="0" applyNumberFormat="1" applyFont="1" applyBorder="1"/>
    <xf numFmtId="10" fontId="0" fillId="0" borderId="0" xfId="0" applyNumberFormat="1"/>
    <xf numFmtId="10" fontId="14" fillId="0" borderId="0" xfId="0" applyNumberFormat="1" applyFont="1"/>
    <xf numFmtId="164" fontId="0" fillId="0" borderId="0" xfId="0" applyNumberFormat="1"/>
    <xf numFmtId="164" fontId="14" fillId="0" borderId="0" xfId="0" applyNumberFormat="1" applyFont="1"/>
    <xf numFmtId="0" fontId="0" fillId="0" borderId="4" xfId="0" applyBorder="1"/>
    <xf numFmtId="1" fontId="0" fillId="0" borderId="4" xfId="0" applyNumberFormat="1" applyBorder="1"/>
    <xf numFmtId="2" fontId="13" fillId="0" borderId="0" xfId="0" applyNumberFormat="1" applyFont="1"/>
    <xf numFmtId="0" fontId="13" fillId="5" borderId="0" xfId="0" applyFont="1" applyFill="1" applyAlignment="1">
      <alignment horizontal="center"/>
    </xf>
    <xf numFmtId="0" fontId="13" fillId="6" borderId="0" xfId="0" applyFont="1" applyFill="1"/>
    <xf numFmtId="9" fontId="13" fillId="6" borderId="0" xfId="0" applyNumberFormat="1" applyFont="1" applyFill="1"/>
    <xf numFmtId="17" fontId="13" fillId="5" borderId="0" xfId="0" applyNumberFormat="1" applyFont="1" applyFill="1" applyAlignment="1">
      <alignment horizontal="center"/>
    </xf>
    <xf numFmtId="0" fontId="13" fillId="7" borderId="0" xfId="0" applyFont="1" applyFill="1"/>
    <xf numFmtId="10" fontId="13" fillId="7" borderId="0" xfId="2" applyNumberFormat="1" applyFont="1" applyFill="1"/>
    <xf numFmtId="0" fontId="0" fillId="8" borderId="0" xfId="0" applyFill="1"/>
    <xf numFmtId="10" fontId="0" fillId="8" borderId="0" xfId="0" applyNumberFormat="1" applyFill="1"/>
    <xf numFmtId="0" fontId="13" fillId="8" borderId="0" xfId="0" applyFont="1" applyFill="1"/>
    <xf numFmtId="0" fontId="0" fillId="5" borderId="0" xfId="0" applyFill="1"/>
    <xf numFmtId="9" fontId="0" fillId="5" borderId="0" xfId="0" applyNumberFormat="1" applyFill="1"/>
    <xf numFmtId="17" fontId="13" fillId="10" borderId="0" xfId="0" applyNumberFormat="1" applyFont="1" applyFill="1"/>
    <xf numFmtId="0" fontId="13" fillId="0" borderId="4" xfId="0" applyFont="1" applyBorder="1"/>
    <xf numFmtId="0" fontId="13" fillId="10" borderId="0" xfId="0" applyFont="1" applyFill="1"/>
    <xf numFmtId="1" fontId="13" fillId="10" borderId="0" xfId="0" applyNumberFormat="1" applyFont="1" applyFill="1"/>
    <xf numFmtId="9" fontId="13" fillId="8" borderId="0" xfId="0" applyNumberFormat="1" applyFont="1" applyFill="1"/>
    <xf numFmtId="9" fontId="13" fillId="0" borderId="0" xfId="0" applyNumberFormat="1" applyFont="1"/>
    <xf numFmtId="9" fontId="20" fillId="0" borderId="0" xfId="0" applyNumberFormat="1" applyFont="1"/>
    <xf numFmtId="1" fontId="18" fillId="0" borderId="0" xfId="0" applyNumberFormat="1" applyFont="1"/>
    <xf numFmtId="0" fontId="19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5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76200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9D434-548E-F1D5-871E-3995F531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76200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827EF8-DA4F-6EFD-7CA6-D5FF56A13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49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76200</xdr:colOff>
      <xdr:row>26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BA8813-7BF8-2F96-B3AF-852B79711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4124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76200</xdr:colOff>
      <xdr:row>28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DA5027-3B81-79D7-C5DF-2FB34CB19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7824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76200</xdr:colOff>
      <xdr:row>43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D7B9BC-A74F-B44C-98AD-FD2B5EB04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1427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76200</xdr:colOff>
      <xdr:row>45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979BF7-C035-599B-EE47-6BF79014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5084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76200</xdr:colOff>
      <xdr:row>57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F4E0FC-A484-31B7-0248-00A68240A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4345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76200</xdr:colOff>
      <xdr:row>59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1CE5DE-8509-44B2-E3C6-969771199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80032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7</xdr:row>
      <xdr:rowOff>129540</xdr:rowOff>
    </xdr:from>
    <xdr:to>
      <xdr:col>2</xdr:col>
      <xdr:colOff>228600</xdr:colOff>
      <xdr:row>8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1ECC3-F58F-CA32-615B-EE588E91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9258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76200</xdr:colOff>
      <xdr:row>6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9AAF18-A1D6-7447-84DA-BC3ED1808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01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76200</xdr:colOff>
      <xdr:row>70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B437AF-BA95-BBDD-AD0A-4BB13C981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6816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EBD86-7307-4B85-98C2-9CB97939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74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0F457-B14A-4473-B5D5-098AE98E0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8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4433-CF98-4F83-87B8-4410DE8FC3E8}">
  <dimension ref="B2:G60"/>
  <sheetViews>
    <sheetView topLeftCell="A16" zoomScaleNormal="115" workbookViewId="0">
      <selection activeCell="H24" sqref="B23:H24"/>
    </sheetView>
  </sheetViews>
  <sheetFormatPr defaultRowHeight="15" x14ac:dyDescent="0.25"/>
  <cols>
    <col min="2" max="2" width="66.42578125" bestFit="1" customWidth="1"/>
    <col min="3" max="6" width="10.85546875" bestFit="1" customWidth="1"/>
    <col min="7" max="7" width="12.28515625" customWidth="1"/>
  </cols>
  <sheetData>
    <row r="2" spans="2:7" ht="15.75" x14ac:dyDescent="0.25">
      <c r="B2" s="14" t="s">
        <v>65</v>
      </c>
      <c r="C2" s="16"/>
      <c r="D2" s="16"/>
      <c r="E2" s="16"/>
      <c r="F2" s="16"/>
      <c r="G2" s="15"/>
    </row>
    <row r="3" spans="2:7" ht="15.75" x14ac:dyDescent="0.25">
      <c r="B3" s="17" t="s">
        <v>66</v>
      </c>
      <c r="C3" s="29"/>
      <c r="D3" s="29"/>
      <c r="E3" s="29"/>
      <c r="F3" s="29"/>
      <c r="G3" s="35"/>
    </row>
    <row r="4" spans="2:7" ht="15.75" x14ac:dyDescent="0.25">
      <c r="B4" s="18"/>
      <c r="C4" s="20">
        <v>44256</v>
      </c>
      <c r="D4" s="20">
        <v>44621</v>
      </c>
      <c r="E4" s="20">
        <v>44986</v>
      </c>
      <c r="F4" s="20">
        <v>45352</v>
      </c>
      <c r="G4" s="20">
        <v>45717</v>
      </c>
    </row>
    <row r="5" spans="2:7" ht="15.75" x14ac:dyDescent="0.25">
      <c r="B5" s="107"/>
      <c r="C5" s="107"/>
    </row>
    <row r="6" spans="2:7" x14ac:dyDescent="0.25">
      <c r="B6" s="21"/>
      <c r="C6" s="22" t="s">
        <v>2</v>
      </c>
      <c r="D6" s="22" t="s">
        <v>2</v>
      </c>
      <c r="E6" s="22" t="s">
        <v>2</v>
      </c>
      <c r="F6" s="22" t="s">
        <v>2</v>
      </c>
      <c r="G6" s="22" t="s">
        <v>2</v>
      </c>
    </row>
    <row r="7" spans="2:7" ht="15.75" x14ac:dyDescent="0.25">
      <c r="B7" s="107"/>
      <c r="C7" s="107"/>
    </row>
    <row r="8" spans="2:7" ht="15.75" x14ac:dyDescent="0.25">
      <c r="B8" s="28" t="s">
        <v>67</v>
      </c>
      <c r="C8" s="19"/>
      <c r="D8" s="19"/>
      <c r="E8" s="19"/>
      <c r="F8" s="19"/>
    </row>
    <row r="9" spans="2:7" ht="15.75" x14ac:dyDescent="0.25">
      <c r="B9" s="18" t="s">
        <v>68</v>
      </c>
      <c r="C9" s="23">
        <v>29769.07</v>
      </c>
      <c r="D9" s="23">
        <v>46880.97</v>
      </c>
      <c r="E9" s="23">
        <v>65298.84</v>
      </c>
      <c r="F9" s="23">
        <v>72745.919999999998</v>
      </c>
      <c r="G9" s="23">
        <v>68869</v>
      </c>
    </row>
    <row r="10" spans="2:7" ht="15.75" x14ac:dyDescent="0.25">
      <c r="B10" s="18" t="s">
        <v>69</v>
      </c>
      <c r="C10" s="23">
        <v>29769.07</v>
      </c>
      <c r="D10" s="23">
        <v>46880.97</v>
      </c>
      <c r="E10" s="23">
        <v>65298.84</v>
      </c>
      <c r="F10" s="23">
        <v>72745.919999999998</v>
      </c>
      <c r="G10" s="23">
        <v>68869</v>
      </c>
    </row>
    <row r="11" spans="2:7" x14ac:dyDescent="0.25">
      <c r="B11" s="21" t="s">
        <v>70</v>
      </c>
      <c r="C11" s="22">
        <v>405.96</v>
      </c>
      <c r="D11" s="22">
        <v>382.71</v>
      </c>
      <c r="E11" s="22">
        <v>458.49</v>
      </c>
      <c r="F11" s="22">
        <v>557.16</v>
      </c>
      <c r="G11" s="22">
        <v>550</v>
      </c>
    </row>
    <row r="12" spans="2:7" ht="15.75" x14ac:dyDescent="0.25">
      <c r="B12" s="18" t="s">
        <v>71</v>
      </c>
      <c r="C12" s="23">
        <v>30175.03</v>
      </c>
      <c r="D12" s="23">
        <v>47263.68</v>
      </c>
      <c r="E12" s="23">
        <v>65757.33</v>
      </c>
      <c r="F12" s="23">
        <v>73303.08</v>
      </c>
      <c r="G12" s="23">
        <v>69419</v>
      </c>
    </row>
    <row r="13" spans="2:7" x14ac:dyDescent="0.25">
      <c r="B13" s="21" t="s">
        <v>72</v>
      </c>
      <c r="C13" s="22">
        <v>419.99</v>
      </c>
      <c r="D13" s="22">
        <v>659.91</v>
      </c>
      <c r="E13" s="22">
        <v>820.94</v>
      </c>
      <c r="F13" s="24">
        <v>1149.8800000000001</v>
      </c>
      <c r="G13" s="24">
        <v>2796</v>
      </c>
    </row>
    <row r="14" spans="2:7" ht="15.75" x14ac:dyDescent="0.25">
      <c r="B14" s="17" t="s">
        <v>73</v>
      </c>
      <c r="C14" s="25">
        <v>30595.02</v>
      </c>
      <c r="D14" s="25">
        <v>47923.59</v>
      </c>
      <c r="E14" s="25">
        <v>66578.27</v>
      </c>
      <c r="F14" s="25">
        <v>74452.960000000006</v>
      </c>
      <c r="G14" s="25">
        <v>72215</v>
      </c>
    </row>
    <row r="15" spans="2:7" ht="15.75" x14ac:dyDescent="0.25">
      <c r="B15" s="28" t="s">
        <v>74</v>
      </c>
      <c r="C15" s="19"/>
      <c r="D15" s="19"/>
      <c r="E15" s="19"/>
      <c r="F15" s="19"/>
    </row>
    <row r="16" spans="2:7" x14ac:dyDescent="0.25">
      <c r="B16" s="21" t="s">
        <v>75</v>
      </c>
      <c r="C16" s="24">
        <v>19050.740000000002</v>
      </c>
      <c r="D16" s="24">
        <v>31693.11</v>
      </c>
      <c r="E16" s="24">
        <v>42226.81</v>
      </c>
      <c r="F16" s="24">
        <v>45025.05</v>
      </c>
      <c r="G16" s="24">
        <v>39865</v>
      </c>
    </row>
    <row r="17" spans="2:7" x14ac:dyDescent="0.25">
      <c r="B17" s="21" t="s">
        <v>76</v>
      </c>
      <c r="C17" s="24">
        <v>3156.8</v>
      </c>
      <c r="D17" s="24">
        <v>5030</v>
      </c>
      <c r="E17" s="24">
        <v>6561.32</v>
      </c>
      <c r="F17" s="24">
        <v>7764.19</v>
      </c>
      <c r="G17" s="24">
        <v>7367</v>
      </c>
    </row>
    <row r="18" spans="2:7" x14ac:dyDescent="0.25">
      <c r="B18" s="21" t="s">
        <v>77</v>
      </c>
      <c r="C18" s="22">
        <v>348.71</v>
      </c>
      <c r="D18" s="22">
        <v>593.9</v>
      </c>
      <c r="E18" s="22">
        <v>899.06</v>
      </c>
      <c r="F18" s="24">
        <v>1104.79</v>
      </c>
      <c r="G18" s="24">
        <v>1033</v>
      </c>
    </row>
    <row r="19" spans="2:7" x14ac:dyDescent="0.25">
      <c r="B19" s="21" t="s">
        <v>78</v>
      </c>
      <c r="C19" s="22">
        <v>-609.54999999999995</v>
      </c>
      <c r="D19" s="22">
        <v>-403.87</v>
      </c>
      <c r="E19" s="22">
        <v>484.69</v>
      </c>
      <c r="F19" s="22">
        <v>-600.44000000000005</v>
      </c>
      <c r="G19" s="22">
        <v>284</v>
      </c>
    </row>
    <row r="20" spans="2:7" x14ac:dyDescent="0.25">
      <c r="B20" s="21" t="s">
        <v>79</v>
      </c>
      <c r="C20" s="24">
        <v>3341.53</v>
      </c>
      <c r="D20" s="24">
        <v>3601.51</v>
      </c>
      <c r="E20" s="24">
        <v>4021.63</v>
      </c>
      <c r="F20" s="24">
        <v>4308.1499999999996</v>
      </c>
      <c r="G20" s="24">
        <v>4513</v>
      </c>
    </row>
    <row r="21" spans="2:7" x14ac:dyDescent="0.25">
      <c r="B21" s="21" t="s">
        <v>80</v>
      </c>
      <c r="C21" s="24">
        <v>2110.83</v>
      </c>
      <c r="D21" s="24">
        <v>2121.73</v>
      </c>
      <c r="E21" s="24">
        <v>2047.51</v>
      </c>
      <c r="F21" s="24">
        <v>1705.74</v>
      </c>
      <c r="G21" s="24">
        <v>1122</v>
      </c>
    </row>
    <row r="22" spans="2:7" x14ac:dyDescent="0.25">
      <c r="B22" s="21" t="s">
        <v>81</v>
      </c>
      <c r="C22" s="24">
        <v>1730.71</v>
      </c>
      <c r="D22" s="24">
        <v>1760.57</v>
      </c>
      <c r="E22" s="24">
        <v>1766.86</v>
      </c>
      <c r="F22" s="24">
        <v>2016.84</v>
      </c>
      <c r="G22" s="24">
        <v>2008</v>
      </c>
    </row>
    <row r="23" spans="2:7" x14ac:dyDescent="0.25">
      <c r="B23" s="21" t="s">
        <v>82</v>
      </c>
      <c r="C23" s="24">
        <v>4227.3500000000004</v>
      </c>
      <c r="D23" s="24">
        <v>6155.52</v>
      </c>
      <c r="E23" s="24">
        <v>8099.5</v>
      </c>
      <c r="F23" s="24">
        <v>9215.9599999999991</v>
      </c>
      <c r="G23" s="24">
        <v>9559</v>
      </c>
    </row>
    <row r="24" spans="2:7" x14ac:dyDescent="0.25">
      <c r="B24" s="21" t="s">
        <v>83</v>
      </c>
      <c r="C24" s="22">
        <v>794.93</v>
      </c>
      <c r="D24" s="22">
        <v>905.42</v>
      </c>
      <c r="E24" s="24">
        <v>1066.73</v>
      </c>
      <c r="F24" s="24">
        <v>1129.73</v>
      </c>
      <c r="G24" s="24">
        <v>1213</v>
      </c>
    </row>
    <row r="25" spans="2:7" ht="15.75" x14ac:dyDescent="0.25">
      <c r="B25" s="17" t="s">
        <v>84</v>
      </c>
      <c r="C25" s="25">
        <v>32562.19</v>
      </c>
      <c r="D25" s="25">
        <v>49647.05</v>
      </c>
      <c r="E25" s="25">
        <v>65040.65</v>
      </c>
      <c r="F25" s="25">
        <v>69410.55</v>
      </c>
      <c r="G25" s="25">
        <v>64538</v>
      </c>
    </row>
    <row r="26" spans="2:7" ht="15.75" x14ac:dyDescent="0.25">
      <c r="B26" s="18"/>
      <c r="C26" s="20">
        <v>44256</v>
      </c>
      <c r="D26" s="20">
        <v>44621</v>
      </c>
      <c r="E26" s="20">
        <v>44986</v>
      </c>
      <c r="F26" s="20">
        <v>45352</v>
      </c>
      <c r="G26" s="20">
        <v>45717</v>
      </c>
    </row>
    <row r="27" spans="2:7" ht="15.75" x14ac:dyDescent="0.25">
      <c r="B27" s="107"/>
      <c r="C27" s="107"/>
    </row>
    <row r="28" spans="2:7" x14ac:dyDescent="0.25">
      <c r="B28" s="21"/>
      <c r="C28" s="22" t="s">
        <v>2</v>
      </c>
      <c r="D28" s="22" t="s">
        <v>2</v>
      </c>
      <c r="E28" s="22" t="s">
        <v>2</v>
      </c>
      <c r="F28" s="22" t="s">
        <v>2</v>
      </c>
      <c r="G28" s="22" t="s">
        <v>2</v>
      </c>
    </row>
    <row r="29" spans="2:7" ht="15.75" x14ac:dyDescent="0.25">
      <c r="B29" s="107"/>
      <c r="C29" s="107"/>
    </row>
    <row r="30" spans="2:7" ht="15.75" x14ac:dyDescent="0.25">
      <c r="B30" s="17" t="s">
        <v>85</v>
      </c>
      <c r="C30" s="25">
        <v>-1967.17</v>
      </c>
      <c r="D30" s="25">
        <v>-1723.46</v>
      </c>
      <c r="E30" s="25">
        <v>1537.62</v>
      </c>
      <c r="F30" s="25">
        <v>5042.41</v>
      </c>
      <c r="G30" s="25">
        <v>7677</v>
      </c>
    </row>
    <row r="31" spans="2:7" x14ac:dyDescent="0.25">
      <c r="B31" s="21" t="s">
        <v>86</v>
      </c>
      <c r="C31" s="22">
        <v>-307.55</v>
      </c>
      <c r="D31" s="22">
        <v>83.41</v>
      </c>
      <c r="E31" s="22">
        <v>-282.82</v>
      </c>
      <c r="F31" s="24">
        <v>2808.41</v>
      </c>
      <c r="G31" s="22">
        <v>-325</v>
      </c>
    </row>
    <row r="32" spans="2:7" ht="15.75" x14ac:dyDescent="0.25">
      <c r="B32" s="18" t="s">
        <v>87</v>
      </c>
      <c r="C32" s="23">
        <v>-2274.7199999999998</v>
      </c>
      <c r="D32" s="23">
        <v>-1640.05</v>
      </c>
      <c r="E32" s="23">
        <v>1254.8</v>
      </c>
      <c r="F32" s="23">
        <v>7850.82</v>
      </c>
      <c r="G32" s="23">
        <v>7352</v>
      </c>
    </row>
    <row r="33" spans="2:7" ht="19.350000000000001" customHeight="1" x14ac:dyDescent="0.25">
      <c r="B33" s="28" t="s">
        <v>88</v>
      </c>
      <c r="C33" s="19"/>
      <c r="D33" s="19"/>
      <c r="E33" s="19"/>
      <c r="F33" s="19"/>
    </row>
    <row r="34" spans="2:7" x14ac:dyDescent="0.25">
      <c r="B34" s="21" t="s">
        <v>89</v>
      </c>
      <c r="C34" s="22">
        <v>20.16</v>
      </c>
      <c r="D34" s="22">
        <v>51.18</v>
      </c>
      <c r="E34" s="22">
        <v>81.599999999999994</v>
      </c>
      <c r="F34" s="22">
        <v>114.22</v>
      </c>
      <c r="G34" s="22">
        <v>53</v>
      </c>
    </row>
    <row r="35" spans="2:7" x14ac:dyDescent="0.25">
      <c r="B35" s="21" t="s">
        <v>90</v>
      </c>
      <c r="C35" s="22">
        <v>0.56000000000000005</v>
      </c>
      <c r="D35" s="22">
        <v>48</v>
      </c>
      <c r="E35" s="24">
        <v>-1554.93</v>
      </c>
      <c r="F35" s="22">
        <v>-165.48</v>
      </c>
      <c r="G35" s="24">
        <v>1847</v>
      </c>
    </row>
    <row r="36" spans="2:7" ht="15.75" x14ac:dyDescent="0.25">
      <c r="B36" s="18" t="s">
        <v>91</v>
      </c>
      <c r="C36" s="19">
        <v>20.72</v>
      </c>
      <c r="D36" s="19">
        <v>99.18</v>
      </c>
      <c r="E36" s="23">
        <v>-1473.33</v>
      </c>
      <c r="F36" s="19">
        <v>-51.26</v>
      </c>
      <c r="G36" s="23">
        <v>1900</v>
      </c>
    </row>
    <row r="37" spans="2:7" ht="15.75" x14ac:dyDescent="0.25">
      <c r="B37" s="18" t="s">
        <v>92</v>
      </c>
      <c r="C37" s="23">
        <v>-2295.44</v>
      </c>
      <c r="D37" s="23">
        <v>-1739.23</v>
      </c>
      <c r="E37" s="23">
        <v>2728.13</v>
      </c>
      <c r="F37" s="23">
        <v>7902.08</v>
      </c>
      <c r="G37" s="23">
        <v>5452</v>
      </c>
    </row>
    <row r="38" spans="2:7" ht="15.75" x14ac:dyDescent="0.25">
      <c r="B38" s="18" t="s">
        <v>93</v>
      </c>
      <c r="C38" s="23">
        <v>-2295.44</v>
      </c>
      <c r="D38" s="23">
        <v>-1739.23</v>
      </c>
      <c r="E38" s="23">
        <v>2728.13</v>
      </c>
      <c r="F38" s="23">
        <v>7902.08</v>
      </c>
      <c r="G38" s="23">
        <v>5452</v>
      </c>
    </row>
    <row r="39" spans="2:7" x14ac:dyDescent="0.25">
      <c r="B39" s="21" t="s">
        <v>94</v>
      </c>
      <c r="C39" s="22">
        <v>-37.85</v>
      </c>
      <c r="D39" s="22">
        <v>392.51</v>
      </c>
      <c r="E39" s="22">
        <v>0</v>
      </c>
      <c r="F39" s="22">
        <v>0</v>
      </c>
      <c r="G39" s="22">
        <v>0</v>
      </c>
    </row>
    <row r="40" spans="2:7" x14ac:dyDescent="0.25">
      <c r="B40" s="21" t="s">
        <v>95</v>
      </c>
      <c r="C40" s="22">
        <v>62.15</v>
      </c>
      <c r="D40" s="22">
        <v>44.14</v>
      </c>
      <c r="E40" s="22">
        <v>0</v>
      </c>
      <c r="F40" s="22">
        <v>0</v>
      </c>
      <c r="G40" s="22">
        <v>0</v>
      </c>
    </row>
    <row r="41" spans="2:7" x14ac:dyDescent="0.25">
      <c r="B41" s="21" t="s">
        <v>96</v>
      </c>
      <c r="C41" s="22">
        <v>-100</v>
      </c>
      <c r="D41" s="22">
        <v>348.37</v>
      </c>
      <c r="E41" s="22">
        <v>0</v>
      </c>
      <c r="F41" s="22">
        <v>0</v>
      </c>
      <c r="G41" s="22">
        <v>0</v>
      </c>
    </row>
    <row r="42" spans="2:7" ht="15.75" x14ac:dyDescent="0.25">
      <c r="B42" s="17" t="s">
        <v>97</v>
      </c>
      <c r="C42" s="25">
        <v>-2395.44</v>
      </c>
      <c r="D42" s="25">
        <v>-1390.86</v>
      </c>
      <c r="E42" s="25">
        <v>2728.13</v>
      </c>
      <c r="F42" s="25">
        <v>7902.08</v>
      </c>
      <c r="G42" s="25">
        <v>5452</v>
      </c>
    </row>
    <row r="43" spans="2:7" ht="15.75" x14ac:dyDescent="0.25">
      <c r="B43" s="18"/>
      <c r="C43" s="20">
        <v>44256</v>
      </c>
      <c r="D43" s="20">
        <v>44621</v>
      </c>
      <c r="E43" s="20">
        <v>44986</v>
      </c>
      <c r="F43" s="20">
        <v>45352</v>
      </c>
      <c r="G43" s="20">
        <v>45717</v>
      </c>
    </row>
    <row r="44" spans="2:7" ht="15.75" x14ac:dyDescent="0.25">
      <c r="B44" s="107"/>
      <c r="C44" s="107"/>
    </row>
    <row r="45" spans="2:7" x14ac:dyDescent="0.25">
      <c r="B45" s="21"/>
      <c r="C45" s="22" t="s">
        <v>2</v>
      </c>
      <c r="D45" s="22" t="s">
        <v>2</v>
      </c>
      <c r="E45" s="22" t="s">
        <v>2</v>
      </c>
      <c r="F45" s="22" t="s">
        <v>2</v>
      </c>
      <c r="G45" s="22" t="s">
        <v>2</v>
      </c>
    </row>
    <row r="46" spans="2:7" ht="15.75" x14ac:dyDescent="0.25">
      <c r="B46" s="107"/>
      <c r="C46" s="107"/>
    </row>
    <row r="47" spans="2:7" ht="19.350000000000001" customHeight="1" x14ac:dyDescent="0.25">
      <c r="B47" s="28" t="s">
        <v>45</v>
      </c>
      <c r="C47" s="19"/>
      <c r="D47" s="19"/>
      <c r="E47" s="19"/>
      <c r="F47" s="19"/>
    </row>
    <row r="48" spans="2:7" ht="15.75" x14ac:dyDescent="0.25">
      <c r="B48" s="28" t="s">
        <v>98</v>
      </c>
      <c r="C48" s="19"/>
      <c r="D48" s="19"/>
      <c r="E48" s="19"/>
      <c r="F48" s="19"/>
    </row>
    <row r="49" spans="2:7" x14ac:dyDescent="0.25">
      <c r="B49" s="21" t="s">
        <v>99</v>
      </c>
      <c r="C49" s="22">
        <v>-6.59</v>
      </c>
      <c r="D49" s="22">
        <v>-3.63</v>
      </c>
      <c r="E49" s="22">
        <v>7.11</v>
      </c>
      <c r="F49" s="22">
        <v>20.61</v>
      </c>
      <c r="G49" s="22">
        <v>15.44</v>
      </c>
    </row>
    <row r="50" spans="2:7" x14ac:dyDescent="0.25">
      <c r="B50" s="21" t="s">
        <v>100</v>
      </c>
      <c r="C50" s="22">
        <v>-6.59</v>
      </c>
      <c r="D50" s="22">
        <v>-3.63</v>
      </c>
      <c r="E50" s="22">
        <v>7.11</v>
      </c>
      <c r="F50" s="22">
        <v>20.6</v>
      </c>
      <c r="G50" s="22">
        <v>15.43</v>
      </c>
    </row>
    <row r="51" spans="2:7" ht="28.7" customHeight="1" x14ac:dyDescent="0.25">
      <c r="B51" s="28" t="s">
        <v>101</v>
      </c>
      <c r="C51" s="19"/>
      <c r="D51" s="19"/>
      <c r="E51" s="19"/>
      <c r="F51" s="19"/>
    </row>
    <row r="52" spans="2:7" ht="19.350000000000001" customHeight="1" x14ac:dyDescent="0.25">
      <c r="B52" s="28" t="s">
        <v>102</v>
      </c>
      <c r="C52" s="19"/>
      <c r="D52" s="19"/>
      <c r="E52" s="19"/>
      <c r="F52" s="19"/>
    </row>
    <row r="53" spans="2:7" ht="19.350000000000001" customHeight="1" x14ac:dyDescent="0.25">
      <c r="B53" s="28" t="s">
        <v>103</v>
      </c>
      <c r="C53" s="19"/>
      <c r="D53" s="19"/>
      <c r="E53" s="19"/>
      <c r="F53" s="19"/>
    </row>
    <row r="54" spans="2:7" x14ac:dyDescent="0.25">
      <c r="B54" s="21" t="s">
        <v>104</v>
      </c>
      <c r="C54" s="22">
        <v>0</v>
      </c>
      <c r="D54" s="22">
        <v>0</v>
      </c>
      <c r="E54" s="22">
        <v>0</v>
      </c>
      <c r="F54" s="22">
        <v>771.16</v>
      </c>
      <c r="G54" s="24">
        <v>2310</v>
      </c>
    </row>
    <row r="55" spans="2:7" x14ac:dyDescent="0.25">
      <c r="B55" s="21" t="s">
        <v>105</v>
      </c>
      <c r="C55" s="22">
        <v>0</v>
      </c>
      <c r="D55" s="22">
        <v>0</v>
      </c>
      <c r="E55" s="22">
        <v>100</v>
      </c>
      <c r="F55" s="22">
        <v>300</v>
      </c>
      <c r="G55" s="22">
        <v>300</v>
      </c>
    </row>
    <row r="56" spans="2:7" ht="15.75" x14ac:dyDescent="0.25">
      <c r="B56" s="21"/>
      <c r="C56" s="26"/>
      <c r="D56" s="26"/>
      <c r="E56" s="26"/>
      <c r="F56" s="26"/>
      <c r="G56" s="22"/>
    </row>
    <row r="57" spans="2:7" x14ac:dyDescent="0.25">
      <c r="B57" s="108"/>
      <c r="C57" s="108"/>
    </row>
    <row r="58" spans="2:7" x14ac:dyDescent="0.25">
      <c r="B58" s="108"/>
      <c r="C58" s="108"/>
    </row>
    <row r="59" spans="2:7" x14ac:dyDescent="0.25">
      <c r="B59" s="109" t="s">
        <v>106</v>
      </c>
      <c r="C59" s="109"/>
    </row>
    <row r="60" spans="2:7" x14ac:dyDescent="0.25">
      <c r="B60" s="106"/>
      <c r="C60" s="106"/>
    </row>
  </sheetData>
  <mergeCells count="10">
    <mergeCell ref="B5:C5"/>
    <mergeCell ref="B7:C7"/>
    <mergeCell ref="B27:C27"/>
    <mergeCell ref="B29:C29"/>
    <mergeCell ref="B59:C59"/>
    <mergeCell ref="B60:C60"/>
    <mergeCell ref="B44:C44"/>
    <mergeCell ref="B46:C46"/>
    <mergeCell ref="B57:C57"/>
    <mergeCell ref="B58:C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71"/>
  <sheetViews>
    <sheetView topLeftCell="A28" workbookViewId="0"/>
  </sheetViews>
  <sheetFormatPr defaultRowHeight="15" x14ac:dyDescent="0.25"/>
  <cols>
    <col min="2" max="2" width="43.140625" customWidth="1"/>
    <col min="3" max="7" width="9.85546875" bestFit="1" customWidth="1"/>
  </cols>
  <sheetData>
    <row r="3" spans="2:7" x14ac:dyDescent="0.25">
      <c r="B3" s="4" t="s">
        <v>0</v>
      </c>
      <c r="G3" s="5" t="s">
        <v>1</v>
      </c>
    </row>
    <row r="4" spans="2:7" x14ac:dyDescent="0.25">
      <c r="B4" s="6"/>
      <c r="C4" s="8">
        <v>44256</v>
      </c>
      <c r="D4" s="8">
        <v>44621</v>
      </c>
      <c r="E4" s="8">
        <v>44986</v>
      </c>
      <c r="F4" s="8">
        <v>45352</v>
      </c>
      <c r="G4" s="27">
        <v>45741</v>
      </c>
    </row>
    <row r="5" spans="2:7" x14ac:dyDescent="0.25">
      <c r="B5" s="32"/>
      <c r="C5" s="32"/>
      <c r="D5" s="32"/>
      <c r="E5" s="32"/>
      <c r="F5" s="32"/>
      <c r="G5" s="32"/>
    </row>
    <row r="6" spans="2:7" x14ac:dyDescent="0.25">
      <c r="B6" s="9"/>
      <c r="C6" s="10" t="s">
        <v>2</v>
      </c>
      <c r="D6" s="10" t="s">
        <v>2</v>
      </c>
      <c r="E6" s="10" t="s">
        <v>2</v>
      </c>
      <c r="F6" s="10" t="s">
        <v>2</v>
      </c>
      <c r="G6" s="10" t="s">
        <v>2</v>
      </c>
    </row>
    <row r="7" spans="2:7" x14ac:dyDescent="0.25">
      <c r="B7" s="32"/>
      <c r="C7" s="32"/>
      <c r="D7" s="32"/>
      <c r="E7" s="32"/>
      <c r="F7" s="32"/>
      <c r="G7" s="32"/>
    </row>
    <row r="8" spans="2:7" x14ac:dyDescent="0.25">
      <c r="B8" s="30" t="s">
        <v>3</v>
      </c>
      <c r="C8" s="7"/>
      <c r="D8" s="7"/>
      <c r="E8" s="7"/>
      <c r="F8" s="7"/>
      <c r="G8" s="31"/>
    </row>
    <row r="9" spans="2:7" x14ac:dyDescent="0.25">
      <c r="B9" s="30" t="s">
        <v>4</v>
      </c>
      <c r="C9" s="7"/>
      <c r="D9" s="7"/>
      <c r="E9" s="7"/>
      <c r="F9" s="7"/>
      <c r="G9" s="31"/>
    </row>
    <row r="10" spans="2:7" x14ac:dyDescent="0.25">
      <c r="B10" s="9" t="s">
        <v>5</v>
      </c>
      <c r="C10" s="10">
        <v>765.81</v>
      </c>
      <c r="D10" s="10">
        <v>765.88</v>
      </c>
      <c r="E10" s="10">
        <v>766.02</v>
      </c>
      <c r="F10" s="10">
        <v>766.5</v>
      </c>
      <c r="G10" s="10">
        <v>736</v>
      </c>
    </row>
    <row r="11" spans="2:7" x14ac:dyDescent="0.25">
      <c r="B11" s="4" t="s">
        <v>6</v>
      </c>
      <c r="C11" s="11">
        <v>765.81</v>
      </c>
      <c r="D11" s="11">
        <v>765.88</v>
      </c>
      <c r="E11" s="11">
        <v>766.02</v>
      </c>
      <c r="F11" s="11">
        <v>766.5</v>
      </c>
      <c r="G11" s="11">
        <v>736</v>
      </c>
    </row>
    <row r="12" spans="2:7" x14ac:dyDescent="0.25">
      <c r="B12" s="9" t="s">
        <v>7</v>
      </c>
      <c r="C12" s="12">
        <v>18290.16</v>
      </c>
      <c r="D12" s="12">
        <v>19171.88</v>
      </c>
      <c r="E12" s="12">
        <v>21701.37</v>
      </c>
      <c r="F12" s="12">
        <v>29374.83</v>
      </c>
      <c r="G12" s="12">
        <v>32705</v>
      </c>
    </row>
    <row r="13" spans="2:7" x14ac:dyDescent="0.25">
      <c r="B13" s="4" t="s">
        <v>8</v>
      </c>
      <c r="C13" s="13">
        <v>18290.16</v>
      </c>
      <c r="D13" s="13">
        <v>19171.88</v>
      </c>
      <c r="E13" s="13">
        <v>21701.37</v>
      </c>
      <c r="F13" s="13">
        <v>29374.83</v>
      </c>
      <c r="G13" s="13">
        <v>32705</v>
      </c>
    </row>
    <row r="14" spans="2:7" x14ac:dyDescent="0.25">
      <c r="B14" s="4" t="s">
        <v>9</v>
      </c>
      <c r="C14" s="13">
        <v>19055.97</v>
      </c>
      <c r="D14" s="13">
        <v>19937.759999999998</v>
      </c>
      <c r="E14" s="13">
        <v>22467.39</v>
      </c>
      <c r="F14" s="13">
        <v>30141.33</v>
      </c>
      <c r="G14" s="13">
        <v>33441</v>
      </c>
    </row>
    <row r="15" spans="2:7" x14ac:dyDescent="0.25">
      <c r="B15" s="9" t="s">
        <v>10</v>
      </c>
      <c r="C15" s="10">
        <v>0</v>
      </c>
      <c r="D15" s="10">
        <v>6.39</v>
      </c>
      <c r="E15" s="10">
        <v>2.46</v>
      </c>
      <c r="F15" s="10">
        <v>1.72</v>
      </c>
      <c r="G15" s="10">
        <v>1</v>
      </c>
    </row>
    <row r="16" spans="2:7" x14ac:dyDescent="0.25">
      <c r="B16" s="30" t="s">
        <v>11</v>
      </c>
      <c r="C16" s="7"/>
      <c r="D16" s="7"/>
      <c r="E16" s="7"/>
      <c r="F16" s="7"/>
      <c r="G16" s="31"/>
    </row>
    <row r="17" spans="2:7" x14ac:dyDescent="0.25">
      <c r="B17" s="9" t="s">
        <v>12</v>
      </c>
      <c r="C17" s="12">
        <v>16326.77</v>
      </c>
      <c r="D17" s="12">
        <v>14102.74</v>
      </c>
      <c r="E17" s="12">
        <v>10445.700000000001</v>
      </c>
      <c r="F17" s="12">
        <v>5235.67</v>
      </c>
      <c r="G17" s="12">
        <v>3626</v>
      </c>
    </row>
    <row r="18" spans="2:7" x14ac:dyDescent="0.25">
      <c r="B18" s="9" t="s">
        <v>13</v>
      </c>
      <c r="C18" s="10">
        <v>266.5</v>
      </c>
      <c r="D18" s="10">
        <v>173.72</v>
      </c>
      <c r="E18" s="10">
        <v>51.16</v>
      </c>
      <c r="F18" s="10">
        <v>49.78</v>
      </c>
      <c r="G18" s="10">
        <v>404</v>
      </c>
    </row>
    <row r="19" spans="2:7" x14ac:dyDescent="0.25">
      <c r="B19" s="9" t="s">
        <v>14</v>
      </c>
      <c r="C19" s="12">
        <v>1786.93</v>
      </c>
      <c r="D19" s="12">
        <v>1212.3399999999999</v>
      </c>
      <c r="E19" s="12">
        <v>1411.78</v>
      </c>
      <c r="F19" s="12">
        <v>1392.16</v>
      </c>
      <c r="G19" s="12">
        <v>1302</v>
      </c>
    </row>
    <row r="20" spans="2:7" x14ac:dyDescent="0.25">
      <c r="B20" s="9" t="s">
        <v>15</v>
      </c>
      <c r="C20" s="12">
        <v>1371.94</v>
      </c>
      <c r="D20" s="12">
        <v>1474.11</v>
      </c>
      <c r="E20" s="12">
        <v>1588.75</v>
      </c>
      <c r="F20" s="12">
        <v>1936.92</v>
      </c>
      <c r="G20" s="12">
        <v>2222</v>
      </c>
    </row>
    <row r="21" spans="2:7" x14ac:dyDescent="0.25">
      <c r="B21" s="4" t="s">
        <v>16</v>
      </c>
      <c r="C21" s="13">
        <v>19752.14</v>
      </c>
      <c r="D21" s="13">
        <v>16962.91</v>
      </c>
      <c r="E21" s="13">
        <v>13497.39</v>
      </c>
      <c r="F21" s="13">
        <v>8614.5300000000007</v>
      </c>
      <c r="G21" s="13">
        <v>7554</v>
      </c>
    </row>
    <row r="22" spans="2:7" x14ac:dyDescent="0.25">
      <c r="B22" s="30" t="s">
        <v>17</v>
      </c>
      <c r="C22" s="7"/>
      <c r="D22" s="7"/>
      <c r="E22" s="7"/>
      <c r="F22" s="7"/>
      <c r="G22" s="31"/>
    </row>
    <row r="23" spans="2:7" x14ac:dyDescent="0.25">
      <c r="B23" s="9" t="s">
        <v>18</v>
      </c>
      <c r="C23" s="12">
        <v>5421.95</v>
      </c>
      <c r="D23" s="12">
        <v>9129.91</v>
      </c>
      <c r="E23" s="12">
        <v>8426.74</v>
      </c>
      <c r="F23" s="12">
        <v>8535.3700000000008</v>
      </c>
      <c r="G23" s="12">
        <v>4982</v>
      </c>
    </row>
    <row r="24" spans="2:7" x14ac:dyDescent="0.25">
      <c r="B24" s="9" t="s">
        <v>19</v>
      </c>
      <c r="C24" s="12">
        <v>8115.01</v>
      </c>
      <c r="D24" s="12">
        <v>6102.1</v>
      </c>
      <c r="E24" s="12">
        <v>7162.6</v>
      </c>
      <c r="F24" s="12">
        <v>8826.4599999999991</v>
      </c>
      <c r="G24" s="12">
        <v>13267</v>
      </c>
    </row>
    <row r="25" spans="2:7" x14ac:dyDescent="0.25">
      <c r="B25" s="9" t="s">
        <v>20</v>
      </c>
      <c r="C25" s="12">
        <v>11671.05</v>
      </c>
      <c r="D25" s="12">
        <v>11152.74</v>
      </c>
      <c r="E25" s="12">
        <v>9805.2999999999993</v>
      </c>
      <c r="F25" s="12">
        <v>8830.41</v>
      </c>
      <c r="G25" s="12">
        <v>4040</v>
      </c>
    </row>
    <row r="26" spans="2:7" x14ac:dyDescent="0.25">
      <c r="B26" s="9" t="s">
        <v>21</v>
      </c>
      <c r="C26" s="12">
        <v>1043.54</v>
      </c>
      <c r="D26" s="10">
        <v>608.05999999999995</v>
      </c>
      <c r="E26" s="10">
        <v>408.89</v>
      </c>
      <c r="F26" s="12">
        <v>1133.92</v>
      </c>
      <c r="G26" s="12">
        <v>2135</v>
      </c>
    </row>
    <row r="27" spans="2:7" x14ac:dyDescent="0.25">
      <c r="B27" s="4" t="s">
        <v>22</v>
      </c>
      <c r="C27" s="13">
        <v>26251.55</v>
      </c>
      <c r="D27" s="13">
        <v>26992.81</v>
      </c>
      <c r="E27" s="13">
        <v>25803.53</v>
      </c>
      <c r="F27" s="13">
        <v>27326.16</v>
      </c>
      <c r="G27" s="13">
        <v>24424</v>
      </c>
    </row>
    <row r="28" spans="2:7" x14ac:dyDescent="0.25">
      <c r="B28" s="4" t="s">
        <v>23</v>
      </c>
      <c r="C28" s="13">
        <v>65059.66</v>
      </c>
      <c r="D28" s="13">
        <v>63899.87</v>
      </c>
      <c r="E28" s="13">
        <v>61770.77</v>
      </c>
      <c r="F28" s="13">
        <v>66083.740000000005</v>
      </c>
      <c r="G28" s="13">
        <v>65420</v>
      </c>
    </row>
    <row r="29" spans="2:7" x14ac:dyDescent="0.25">
      <c r="B29" s="30" t="s">
        <v>24</v>
      </c>
      <c r="C29" s="7"/>
      <c r="D29" s="7"/>
      <c r="E29" s="7"/>
      <c r="F29" s="7"/>
      <c r="G29" s="31"/>
    </row>
    <row r="30" spans="2:7" x14ac:dyDescent="0.25">
      <c r="B30" s="30" t="s">
        <v>25</v>
      </c>
      <c r="C30" s="7"/>
      <c r="D30" s="7"/>
      <c r="E30" s="7"/>
      <c r="F30" s="7"/>
      <c r="G30" s="31"/>
    </row>
    <row r="31" spans="2:7" x14ac:dyDescent="0.25">
      <c r="B31" s="9" t="s">
        <v>26</v>
      </c>
      <c r="C31" s="12">
        <v>19922.060000000001</v>
      </c>
      <c r="D31" s="12">
        <v>12065.89</v>
      </c>
      <c r="E31" s="12">
        <v>12129.14</v>
      </c>
      <c r="F31" s="12">
        <v>11990.26</v>
      </c>
      <c r="G31" s="12">
        <v>12188</v>
      </c>
    </row>
    <row r="32" spans="2:7" x14ac:dyDescent="0.25">
      <c r="B32" s="9" t="s">
        <v>27</v>
      </c>
      <c r="C32" s="12">
        <v>6501.04</v>
      </c>
      <c r="D32" s="12">
        <v>2009.87</v>
      </c>
      <c r="E32" s="12">
        <v>2413.1799999999998</v>
      </c>
      <c r="F32" s="12">
        <v>2353.79</v>
      </c>
      <c r="G32" s="12">
        <v>1927</v>
      </c>
    </row>
    <row r="33" spans="2:7" x14ac:dyDescent="0.25">
      <c r="B33" s="9" t="s">
        <v>28</v>
      </c>
      <c r="C33" s="12">
        <v>1400.82</v>
      </c>
      <c r="D33" s="10">
        <v>585.21</v>
      </c>
      <c r="E33" s="10">
        <v>575.65</v>
      </c>
      <c r="F33" s="10">
        <v>645.03</v>
      </c>
      <c r="G33" s="10">
        <v>683</v>
      </c>
    </row>
    <row r="34" spans="2:7" x14ac:dyDescent="0.25">
      <c r="B34" s="9" t="s">
        <v>29</v>
      </c>
      <c r="C34" s="12">
        <v>1605.64</v>
      </c>
      <c r="D34" s="10">
        <v>882.03</v>
      </c>
      <c r="E34" s="10">
        <v>509.3</v>
      </c>
      <c r="F34" s="10">
        <v>588.91999999999996</v>
      </c>
      <c r="G34" s="12">
        <v>1141</v>
      </c>
    </row>
    <row r="35" spans="2:7" x14ac:dyDescent="0.25">
      <c r="B35" s="4" t="s">
        <v>30</v>
      </c>
      <c r="C35" s="13">
        <v>29429.56</v>
      </c>
      <c r="D35" s="13">
        <v>15543</v>
      </c>
      <c r="E35" s="13">
        <v>15627.27</v>
      </c>
      <c r="F35" s="13">
        <v>15578</v>
      </c>
      <c r="G35" s="13">
        <v>15939</v>
      </c>
    </row>
    <row r="36" spans="2:7" x14ac:dyDescent="0.25">
      <c r="B36" s="9" t="s">
        <v>31</v>
      </c>
      <c r="C36" s="12">
        <v>16114.91</v>
      </c>
      <c r="D36" s="12">
        <v>29256.39</v>
      </c>
      <c r="E36" s="12">
        <v>29181.62</v>
      </c>
      <c r="F36" s="12">
        <v>30315.57</v>
      </c>
      <c r="G36" s="12">
        <v>31427</v>
      </c>
    </row>
    <row r="37" spans="2:7" x14ac:dyDescent="0.25">
      <c r="B37" s="9" t="s">
        <v>32</v>
      </c>
      <c r="C37" s="10">
        <v>0</v>
      </c>
      <c r="D37" s="10">
        <v>0</v>
      </c>
      <c r="E37" s="12">
        <v>1477.26</v>
      </c>
      <c r="F37" s="12">
        <v>1558.65</v>
      </c>
      <c r="G37" s="10">
        <v>0</v>
      </c>
    </row>
    <row r="38" spans="2:7" x14ac:dyDescent="0.25">
      <c r="B38" s="9" t="s">
        <v>33</v>
      </c>
      <c r="C38" s="10">
        <v>72.39</v>
      </c>
      <c r="D38" s="10">
        <v>48.43</v>
      </c>
      <c r="E38" s="10">
        <v>114.4</v>
      </c>
      <c r="F38" s="10">
        <v>101.89</v>
      </c>
      <c r="G38" s="10">
        <v>255</v>
      </c>
    </row>
    <row r="39" spans="2:7" x14ac:dyDescent="0.25">
      <c r="B39" s="9" t="s">
        <v>34</v>
      </c>
      <c r="C39" s="12">
        <v>3588.21</v>
      </c>
      <c r="D39" s="12">
        <v>3432.44</v>
      </c>
      <c r="E39" s="12">
        <v>3870.27</v>
      </c>
      <c r="F39" s="12">
        <v>3321.96</v>
      </c>
      <c r="G39" s="12">
        <v>2899</v>
      </c>
    </row>
    <row r="40" spans="2:7" x14ac:dyDescent="0.25">
      <c r="B40" s="4" t="s">
        <v>35</v>
      </c>
      <c r="C40" s="13">
        <v>49205.07</v>
      </c>
      <c r="D40" s="13">
        <v>48280.26</v>
      </c>
      <c r="E40" s="13">
        <v>50270.82</v>
      </c>
      <c r="F40" s="13">
        <v>50876.07</v>
      </c>
      <c r="G40" s="13">
        <v>50520</v>
      </c>
    </row>
    <row r="41" spans="2:7" x14ac:dyDescent="0.25">
      <c r="B41" s="30" t="s">
        <v>36</v>
      </c>
      <c r="C41" s="7"/>
      <c r="D41" s="7"/>
      <c r="E41" s="7"/>
      <c r="F41" s="7"/>
      <c r="G41" s="31"/>
    </row>
    <row r="42" spans="2:7" x14ac:dyDescent="0.25">
      <c r="B42" s="9" t="s">
        <v>37</v>
      </c>
      <c r="C42" s="12">
        <v>1578.26</v>
      </c>
      <c r="D42" s="12">
        <v>5143.08</v>
      </c>
      <c r="E42" s="12">
        <v>3142.96</v>
      </c>
      <c r="F42" s="12">
        <v>1993.5</v>
      </c>
      <c r="G42" s="12">
        <v>2857</v>
      </c>
    </row>
    <row r="43" spans="2:7" x14ac:dyDescent="0.25">
      <c r="B43" s="9" t="s">
        <v>38</v>
      </c>
      <c r="C43" s="12">
        <v>4551.71</v>
      </c>
      <c r="D43" s="12">
        <v>3718.49</v>
      </c>
      <c r="E43" s="12">
        <v>3027.9</v>
      </c>
      <c r="F43" s="12">
        <v>3470.38</v>
      </c>
      <c r="G43" s="12">
        <v>3154</v>
      </c>
    </row>
    <row r="44" spans="2:7" x14ac:dyDescent="0.25">
      <c r="B44" s="9" t="s">
        <v>39</v>
      </c>
      <c r="C44" s="12">
        <v>2087.5100000000002</v>
      </c>
      <c r="D44" s="12">
        <v>2111.7800000000002</v>
      </c>
      <c r="E44" s="12">
        <v>2307.7199999999998</v>
      </c>
      <c r="F44" s="12">
        <v>2765.16</v>
      </c>
      <c r="G44" s="12">
        <v>2280</v>
      </c>
    </row>
    <row r="45" spans="2:7" x14ac:dyDescent="0.25">
      <c r="B45" s="9" t="s">
        <v>40</v>
      </c>
      <c r="C45" s="12">
        <v>4318.9399999999996</v>
      </c>
      <c r="D45" s="12">
        <v>2605.4299999999998</v>
      </c>
      <c r="E45" s="12">
        <v>1414.65</v>
      </c>
      <c r="F45" s="12">
        <v>5150.96</v>
      </c>
      <c r="G45" s="12">
        <v>1601</v>
      </c>
    </row>
    <row r="46" spans="2:7" x14ac:dyDescent="0.25">
      <c r="B46" s="9" t="s">
        <v>41</v>
      </c>
      <c r="C46" s="10">
        <v>184.49</v>
      </c>
      <c r="D46" s="10">
        <v>139.37</v>
      </c>
      <c r="E46" s="10">
        <v>132.29</v>
      </c>
      <c r="F46" s="10">
        <v>132.19</v>
      </c>
      <c r="G46" s="12">
        <v>3060</v>
      </c>
    </row>
    <row r="47" spans="2:7" x14ac:dyDescent="0.25">
      <c r="B47" s="9" t="s">
        <v>42</v>
      </c>
      <c r="C47" s="12">
        <v>3133.68</v>
      </c>
      <c r="D47" s="12">
        <v>1901.46</v>
      </c>
      <c r="E47" s="12">
        <v>1474.43</v>
      </c>
      <c r="F47" s="12">
        <v>1695.48</v>
      </c>
      <c r="G47" s="12">
        <v>1948</v>
      </c>
    </row>
    <row r="48" spans="2:7" x14ac:dyDescent="0.25">
      <c r="B48" s="4" t="s">
        <v>43</v>
      </c>
      <c r="C48" s="13">
        <v>15854.59</v>
      </c>
      <c r="D48" s="13">
        <v>15619.61</v>
      </c>
      <c r="E48" s="13">
        <v>11499.95</v>
      </c>
      <c r="F48" s="13">
        <v>15207.67</v>
      </c>
      <c r="G48" s="13">
        <v>14900</v>
      </c>
    </row>
    <row r="49" spans="2:7" x14ac:dyDescent="0.25">
      <c r="B49" s="4" t="s">
        <v>44</v>
      </c>
      <c r="C49" s="13">
        <v>65059.66</v>
      </c>
      <c r="D49" s="13">
        <v>63899.87</v>
      </c>
      <c r="E49" s="13">
        <v>61770.77</v>
      </c>
      <c r="F49" s="13">
        <v>66083.740000000005</v>
      </c>
      <c r="G49" s="13">
        <v>65420</v>
      </c>
    </row>
    <row r="50" spans="2:7" ht="19.350000000000001" customHeight="1" x14ac:dyDescent="0.25">
      <c r="B50" s="30" t="s">
        <v>45</v>
      </c>
      <c r="C50" s="7"/>
      <c r="D50" s="7"/>
      <c r="E50" s="7"/>
      <c r="F50" s="7"/>
      <c r="G50" s="31"/>
    </row>
    <row r="51" spans="2:7" ht="19.350000000000001" customHeight="1" x14ac:dyDescent="0.25">
      <c r="B51" s="30" t="s">
        <v>46</v>
      </c>
      <c r="C51" s="7"/>
      <c r="D51" s="7"/>
      <c r="E51" s="7"/>
      <c r="F51" s="7"/>
      <c r="G51" s="31"/>
    </row>
    <row r="52" spans="2:7" x14ac:dyDescent="0.25">
      <c r="B52" s="9" t="s">
        <v>47</v>
      </c>
      <c r="C52" s="12">
        <v>3694.2</v>
      </c>
      <c r="D52" s="12">
        <v>3353.04</v>
      </c>
      <c r="E52" s="12">
        <v>2515.88</v>
      </c>
      <c r="F52" s="12">
        <v>2667.64</v>
      </c>
      <c r="G52" s="12">
        <v>3544</v>
      </c>
    </row>
    <row r="53" spans="2:7" x14ac:dyDescent="0.25">
      <c r="B53" s="30" t="s">
        <v>48</v>
      </c>
      <c r="C53" s="7"/>
      <c r="D53" s="7"/>
      <c r="E53" s="7"/>
      <c r="F53" s="7"/>
      <c r="G53" s="31"/>
    </row>
    <row r="54" spans="2:7" ht="19.350000000000001" customHeight="1" x14ac:dyDescent="0.25">
      <c r="B54" s="30" t="s">
        <v>49</v>
      </c>
      <c r="C54" s="7"/>
      <c r="D54" s="7"/>
      <c r="E54" s="7"/>
      <c r="F54" s="7"/>
      <c r="G54" s="31"/>
    </row>
    <row r="55" spans="2:7" x14ac:dyDescent="0.25">
      <c r="B55" s="9" t="s">
        <v>50</v>
      </c>
      <c r="C55" s="12">
        <v>2159.77</v>
      </c>
      <c r="D55" s="12">
        <v>1983.68</v>
      </c>
      <c r="E55" s="12">
        <v>1297.57</v>
      </c>
      <c r="F55" s="12">
        <v>1217.8599999999999</v>
      </c>
      <c r="G55" s="10">
        <v>862</v>
      </c>
    </row>
    <row r="56" spans="2:7" ht="28.7" customHeight="1" x14ac:dyDescent="0.25">
      <c r="B56" s="30" t="s">
        <v>51</v>
      </c>
      <c r="C56" s="7"/>
      <c r="D56" s="7"/>
      <c r="E56" s="7"/>
      <c r="F56" s="7"/>
      <c r="G56" s="31"/>
    </row>
    <row r="57" spans="2:7" x14ac:dyDescent="0.25">
      <c r="B57" s="9" t="s">
        <v>52</v>
      </c>
      <c r="C57" s="10" t="s">
        <v>53</v>
      </c>
      <c r="D57" s="10" t="s">
        <v>53</v>
      </c>
      <c r="E57" s="10" t="s">
        <v>53</v>
      </c>
      <c r="F57" s="10" t="s">
        <v>53</v>
      </c>
      <c r="G57" s="10" t="s">
        <v>53</v>
      </c>
    </row>
    <row r="58" spans="2:7" ht="19.350000000000001" customHeight="1" x14ac:dyDescent="0.25">
      <c r="B58" s="30" t="s">
        <v>54</v>
      </c>
      <c r="C58" s="7"/>
      <c r="D58" s="7"/>
      <c r="E58" s="7"/>
      <c r="F58" s="7"/>
      <c r="G58" s="31"/>
    </row>
    <row r="59" spans="2:7" x14ac:dyDescent="0.25">
      <c r="B59" s="9" t="s">
        <v>55</v>
      </c>
      <c r="C59" s="10" t="s">
        <v>53</v>
      </c>
      <c r="D59" s="10" t="s">
        <v>53</v>
      </c>
      <c r="E59" s="10" t="s">
        <v>53</v>
      </c>
      <c r="F59" s="10" t="s">
        <v>53</v>
      </c>
      <c r="G59" s="10" t="s">
        <v>53</v>
      </c>
    </row>
    <row r="60" spans="2:7" x14ac:dyDescent="0.25">
      <c r="B60" s="9" t="s">
        <v>56</v>
      </c>
      <c r="C60" s="12">
        <v>2181.66</v>
      </c>
      <c r="D60" s="12">
        <v>4006.6</v>
      </c>
      <c r="E60" s="12">
        <v>2979.25</v>
      </c>
      <c r="F60" s="12">
        <v>3073.96</v>
      </c>
      <c r="G60" s="12">
        <v>4547</v>
      </c>
    </row>
    <row r="61" spans="2:7" x14ac:dyDescent="0.25">
      <c r="B61" s="30" t="s">
        <v>57</v>
      </c>
      <c r="C61" s="7"/>
      <c r="D61" s="7"/>
      <c r="E61" s="7"/>
      <c r="F61" s="7"/>
      <c r="G61" s="31"/>
    </row>
    <row r="62" spans="2:7" x14ac:dyDescent="0.25">
      <c r="B62" s="9" t="s">
        <v>58</v>
      </c>
      <c r="C62" s="10">
        <v>111.29</v>
      </c>
      <c r="D62" s="10">
        <v>111.29</v>
      </c>
      <c r="E62" s="10">
        <v>111.29</v>
      </c>
      <c r="F62" s="10">
        <v>111.29</v>
      </c>
      <c r="G62" s="10">
        <v>106.79</v>
      </c>
    </row>
    <row r="63" spans="2:7" ht="19.350000000000001" customHeight="1" x14ac:dyDescent="0.25">
      <c r="B63" s="30" t="s">
        <v>59</v>
      </c>
      <c r="C63" s="7"/>
      <c r="D63" s="7"/>
      <c r="E63" s="7"/>
      <c r="F63" s="7"/>
      <c r="G63" s="31"/>
    </row>
    <row r="64" spans="2:7" x14ac:dyDescent="0.25">
      <c r="B64" s="9" t="s">
        <v>60</v>
      </c>
      <c r="C64" s="10">
        <v>446.23</v>
      </c>
      <c r="D64" s="10">
        <v>718.49</v>
      </c>
      <c r="E64" s="10">
        <v>574.37</v>
      </c>
      <c r="F64" s="10">
        <v>856.59</v>
      </c>
      <c r="G64" s="10">
        <v>848</v>
      </c>
    </row>
    <row r="65" spans="2:7" x14ac:dyDescent="0.25">
      <c r="B65" s="9" t="s">
        <v>61</v>
      </c>
      <c r="C65" s="10">
        <v>521.41999999999996</v>
      </c>
      <c r="D65" s="10">
        <v>620.45000000000005</v>
      </c>
      <c r="E65" s="10">
        <v>630.45000000000005</v>
      </c>
      <c r="F65" s="10">
        <v>729.53</v>
      </c>
      <c r="G65" s="10">
        <v>861</v>
      </c>
    </row>
    <row r="66" spans="2:7" x14ac:dyDescent="0.25">
      <c r="B66" s="30" t="s">
        <v>62</v>
      </c>
      <c r="C66" s="7"/>
      <c r="D66" s="7"/>
      <c r="E66" s="7"/>
      <c r="F66" s="7"/>
      <c r="G66" s="31"/>
    </row>
    <row r="67" spans="2:7" x14ac:dyDescent="0.25">
      <c r="B67" s="9" t="s">
        <v>63</v>
      </c>
      <c r="C67" s="10" t="s">
        <v>53</v>
      </c>
      <c r="D67" s="10" t="s">
        <v>53</v>
      </c>
      <c r="E67" s="10" t="s">
        <v>53</v>
      </c>
      <c r="F67" s="10">
        <v>33.14</v>
      </c>
      <c r="G67" s="12">
        <v>2857</v>
      </c>
    </row>
    <row r="68" spans="2:7" x14ac:dyDescent="0.25">
      <c r="B68" s="9" t="s">
        <v>64</v>
      </c>
      <c r="C68" s="12">
        <v>1578.26</v>
      </c>
      <c r="D68" s="12">
        <v>5143.08</v>
      </c>
      <c r="E68" s="12">
        <v>3142.96</v>
      </c>
      <c r="F68" s="12">
        <v>1960.36</v>
      </c>
      <c r="G68" s="10" t="s">
        <v>53</v>
      </c>
    </row>
    <row r="69" spans="2:7" x14ac:dyDescent="0.25">
      <c r="B69" s="2"/>
      <c r="C69" s="1"/>
      <c r="D69" s="1"/>
      <c r="E69" s="1"/>
      <c r="F69" s="1"/>
      <c r="G69" s="3"/>
    </row>
    <row r="70" spans="2:7" x14ac:dyDescent="0.25">
      <c r="B70" s="33"/>
      <c r="C70" s="33"/>
      <c r="D70" s="33"/>
      <c r="E70" s="33"/>
      <c r="F70" s="33"/>
      <c r="G70" s="33"/>
    </row>
    <row r="71" spans="2:7" x14ac:dyDescent="0.25">
      <c r="B71" s="34"/>
      <c r="C71" s="34"/>
      <c r="D71" s="34"/>
      <c r="E71" s="34"/>
      <c r="F71" s="34"/>
      <c r="G71" s="3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8C1A-AD79-4604-A79C-0033018127DD}">
  <dimension ref="A1:K30"/>
  <sheetViews>
    <sheetView topLeftCell="A12" zoomScale="130" zoomScaleNormal="130" workbookViewId="0">
      <selection activeCell="B3" sqref="B3:F3"/>
    </sheetView>
  </sheetViews>
  <sheetFormatPr defaultRowHeight="15" x14ac:dyDescent="0.25"/>
  <cols>
    <col min="1" max="1" width="36.5703125" bestFit="1" customWidth="1"/>
    <col min="2" max="2" width="9.5703125" customWidth="1"/>
    <col min="3" max="4" width="9.7109375" bestFit="1" customWidth="1"/>
    <col min="5" max="5" width="8.85546875" bestFit="1" customWidth="1"/>
    <col min="6" max="11" width="8" bestFit="1" customWidth="1"/>
  </cols>
  <sheetData>
    <row r="1" spans="1:11" ht="15.75" x14ac:dyDescent="0.25">
      <c r="A1" s="14" t="s">
        <v>65</v>
      </c>
      <c r="B1" s="16"/>
      <c r="C1" s="16"/>
      <c r="D1" s="16"/>
      <c r="E1" s="16"/>
      <c r="F1" s="15"/>
    </row>
    <row r="2" spans="1:11" ht="15.75" x14ac:dyDescent="0.25">
      <c r="A2" s="17" t="s">
        <v>66</v>
      </c>
      <c r="B2" s="110" t="s">
        <v>107</v>
      </c>
      <c r="C2" s="111"/>
      <c r="D2" s="111"/>
      <c r="E2" s="111"/>
      <c r="F2" s="111"/>
      <c r="G2" s="112" t="s">
        <v>108</v>
      </c>
      <c r="H2" s="112"/>
      <c r="I2" s="112"/>
      <c r="J2" s="112"/>
      <c r="K2" s="112"/>
    </row>
    <row r="3" spans="1:11" ht="15.75" x14ac:dyDescent="0.25">
      <c r="A3" s="18"/>
      <c r="B3" s="20">
        <v>44256</v>
      </c>
      <c r="C3" s="20">
        <v>44621</v>
      </c>
      <c r="D3" s="20">
        <v>44986</v>
      </c>
      <c r="E3" s="20">
        <v>45352</v>
      </c>
      <c r="F3" s="20">
        <v>45717</v>
      </c>
      <c r="G3" s="20">
        <v>46082</v>
      </c>
      <c r="H3" s="20">
        <v>46447</v>
      </c>
      <c r="I3" s="20">
        <v>46813</v>
      </c>
      <c r="J3" s="20">
        <v>47178</v>
      </c>
      <c r="K3" s="20">
        <v>47543</v>
      </c>
    </row>
    <row r="4" spans="1:11" ht="15.75" x14ac:dyDescent="0.25">
      <c r="A4" s="29" t="str">
        <f>PL!B8</f>
        <v>INCOME</v>
      </c>
      <c r="B4" s="29"/>
    </row>
    <row r="5" spans="1:11" x14ac:dyDescent="0.25">
      <c r="A5" s="45" t="str">
        <f>PL!B10</f>
        <v>Revenue From Operations [Net]</v>
      </c>
      <c r="B5" s="46">
        <f>PL!C10</f>
        <v>29769.07</v>
      </c>
      <c r="C5" s="46">
        <f>PL!D10</f>
        <v>46880.97</v>
      </c>
      <c r="D5" s="46">
        <f>PL!E10</f>
        <v>65298.84</v>
      </c>
      <c r="E5" s="46">
        <f>PL!F10</f>
        <v>72745.919999999998</v>
      </c>
      <c r="F5" s="45">
        <f>PL!G10</f>
        <v>68869</v>
      </c>
      <c r="G5" s="47">
        <f>(F5+(G6*F5))</f>
        <v>79282.375468786471</v>
      </c>
      <c r="H5" s="47">
        <f t="shared" ref="H5:K5" si="0">(G5+(H6*G5))</f>
        <v>91270.311170100264</v>
      </c>
      <c r="I5" s="47">
        <f t="shared" si="0"/>
        <v>105070.88936010201</v>
      </c>
      <c r="J5" s="47">
        <f t="shared" si="0"/>
        <v>120958.19165498161</v>
      </c>
      <c r="K5" s="47">
        <f t="shared" si="0"/>
        <v>139247.7423342242</v>
      </c>
    </row>
    <row r="6" spans="1:11" x14ac:dyDescent="0.25">
      <c r="A6" s="65" t="s">
        <v>109</v>
      </c>
      <c r="B6" s="66"/>
      <c r="C6" s="48">
        <f>(C5-B5)/B5</f>
        <v>0.57482145058612855</v>
      </c>
      <c r="D6" s="48">
        <f t="shared" ref="D6:F6" si="1">(D5-C5)/C5</f>
        <v>0.39286452477412465</v>
      </c>
      <c r="E6" s="48">
        <f t="shared" si="1"/>
        <v>0.11404613006907936</v>
      </c>
      <c r="F6" s="48">
        <f t="shared" si="1"/>
        <v>-5.3293985422137743E-2</v>
      </c>
      <c r="G6" s="49">
        <f>AVERAGE($D$6:$F$6)</f>
        <v>0.15120555647368875</v>
      </c>
      <c r="H6" s="49">
        <f t="shared" ref="H6:K6" si="2">AVERAGE($D$6:$F$6)</f>
        <v>0.15120555647368875</v>
      </c>
      <c r="I6" s="49">
        <f t="shared" si="2"/>
        <v>0.15120555647368875</v>
      </c>
      <c r="J6" s="49">
        <f t="shared" si="2"/>
        <v>0.15120555647368875</v>
      </c>
      <c r="K6" s="49">
        <f t="shared" si="2"/>
        <v>0.15120555647368875</v>
      </c>
    </row>
    <row r="7" spans="1:11" x14ac:dyDescent="0.25">
      <c r="A7" s="67" t="str">
        <f>PL!B11</f>
        <v>Other Operating Revenues</v>
      </c>
      <c r="B7" s="68">
        <f>PL!C11</f>
        <v>405.96</v>
      </c>
      <c r="C7" s="68">
        <f>PL!D11</f>
        <v>382.71</v>
      </c>
      <c r="D7" s="68">
        <f>PL!E11</f>
        <v>458.49</v>
      </c>
      <c r="E7" s="68">
        <f>PL!F11</f>
        <v>557.16</v>
      </c>
      <c r="F7" s="68">
        <f>PL!G11</f>
        <v>550</v>
      </c>
      <c r="G7" s="47">
        <f>G8*G5</f>
        <v>599.01994322899384</v>
      </c>
      <c r="H7" s="47">
        <f t="shared" ref="H7:K7" si="3">H8*H5</f>
        <v>689.59508708377132</v>
      </c>
      <c r="I7" s="47">
        <f t="shared" si="3"/>
        <v>793.86569596779486</v>
      </c>
      <c r="J7" s="47">
        <f t="shared" si="3"/>
        <v>913.90260029197736</v>
      </c>
      <c r="K7" s="47">
        <f t="shared" si="3"/>
        <v>1052.089751531877</v>
      </c>
    </row>
    <row r="8" spans="1:11" x14ac:dyDescent="0.25">
      <c r="A8" s="54" t="s">
        <v>110</v>
      </c>
      <c r="B8" s="50">
        <f>B7/B5</f>
        <v>1.3636972871507239E-2</v>
      </c>
      <c r="C8" s="50">
        <f t="shared" ref="C8:F8" si="4">C7/C5</f>
        <v>8.1634403042428506E-3</v>
      </c>
      <c r="D8" s="50">
        <f t="shared" si="4"/>
        <v>7.0214111001053008E-3</v>
      </c>
      <c r="E8" s="50">
        <f t="shared" si="4"/>
        <v>7.6589862359291074E-3</v>
      </c>
      <c r="F8" s="50">
        <f t="shared" si="4"/>
        <v>7.9861766542275916E-3</v>
      </c>
      <c r="G8" s="51">
        <f>AVERAGE($D$8:$F$8)</f>
        <v>7.5555246634206666E-3</v>
      </c>
      <c r="H8" s="51">
        <f t="shared" ref="H8:K8" si="5">AVERAGE($D$8:$F$8)</f>
        <v>7.5555246634206666E-3</v>
      </c>
      <c r="I8" s="51">
        <f t="shared" si="5"/>
        <v>7.5555246634206666E-3</v>
      </c>
      <c r="J8" s="51">
        <f t="shared" si="5"/>
        <v>7.5555246634206666E-3</v>
      </c>
      <c r="K8" s="51">
        <f t="shared" si="5"/>
        <v>7.5555246634206666E-3</v>
      </c>
    </row>
    <row r="9" spans="1:11" x14ac:dyDescent="0.25">
      <c r="A9" s="57" t="str">
        <f>PL!B12</f>
        <v>Total Operating Revenues</v>
      </c>
      <c r="B9" s="62">
        <f>B5+B7</f>
        <v>30175.03</v>
      </c>
      <c r="C9" s="62">
        <f t="shared" ref="C9:K9" si="6">C5+C7</f>
        <v>47263.68</v>
      </c>
      <c r="D9" s="62">
        <f t="shared" si="6"/>
        <v>65757.33</v>
      </c>
      <c r="E9" s="62">
        <f t="shared" si="6"/>
        <v>73303.08</v>
      </c>
      <c r="F9" s="62">
        <f t="shared" si="6"/>
        <v>69419</v>
      </c>
      <c r="G9" s="62">
        <f t="shared" si="6"/>
        <v>79881.395412015467</v>
      </c>
      <c r="H9" s="62">
        <f t="shared" si="6"/>
        <v>91959.906257184033</v>
      </c>
      <c r="I9" s="62">
        <f t="shared" si="6"/>
        <v>105864.7550560698</v>
      </c>
      <c r="J9" s="62">
        <f t="shared" si="6"/>
        <v>121872.09425527358</v>
      </c>
      <c r="K9" s="62">
        <f t="shared" si="6"/>
        <v>140299.83208575606</v>
      </c>
    </row>
    <row r="10" spans="1:11" x14ac:dyDescent="0.25">
      <c r="A10" s="57" t="s">
        <v>74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</row>
    <row r="11" spans="1:11" x14ac:dyDescent="0.25">
      <c r="A11" s="52" t="s">
        <v>111</v>
      </c>
      <c r="B11" s="53">
        <f>SUM(PL!C16:C19)</f>
        <v>21946.7</v>
      </c>
      <c r="C11" s="53">
        <f>SUM(PL!D16:D19)</f>
        <v>36913.14</v>
      </c>
      <c r="D11" s="53">
        <f>SUM(PL!E16:E19)</f>
        <v>50171.88</v>
      </c>
      <c r="E11" s="53">
        <f>SUM(PL!F16:F19)</f>
        <v>53293.590000000004</v>
      </c>
      <c r="F11" s="53">
        <f>SUM(PL!G16:G19)</f>
        <v>48549</v>
      </c>
      <c r="G11" s="47">
        <f>G12*G5</f>
        <v>58296.031783488957</v>
      </c>
      <c r="H11" s="47">
        <f t="shared" ref="H11:K11" si="7">H12*H5</f>
        <v>67110.715709519252</v>
      </c>
      <c r="I11" s="47">
        <f t="shared" si="7"/>
        <v>77258.228823724639</v>
      </c>
      <c r="J11" s="47">
        <f t="shared" si="7"/>
        <v>88940.102305187494</v>
      </c>
      <c r="K11" s="47">
        <f t="shared" si="7"/>
        <v>102388.33996707018</v>
      </c>
    </row>
    <row r="12" spans="1:11" x14ac:dyDescent="0.25">
      <c r="A12" s="54" t="str">
        <f>A8</f>
        <v xml:space="preserve">Percentage of sales </v>
      </c>
      <c r="B12" s="55">
        <f>B11/B5</f>
        <v>0.73723163001061176</v>
      </c>
      <c r="C12" s="55">
        <f t="shared" ref="C12:F12" si="8">C11/C5</f>
        <v>0.78738003927819755</v>
      </c>
      <c r="D12" s="55">
        <f t="shared" si="8"/>
        <v>0.76834259230332425</v>
      </c>
      <c r="E12" s="55">
        <f t="shared" si="8"/>
        <v>0.73259902411021816</v>
      </c>
      <c r="F12" s="55">
        <f t="shared" si="8"/>
        <v>0.70494707342926421</v>
      </c>
      <c r="G12" s="56">
        <f>AVERAGE($D$12:$F$12)</f>
        <v>0.73529622994760224</v>
      </c>
      <c r="H12" s="56">
        <f t="shared" ref="H12:K12" si="9">AVERAGE($D$12:$F$12)</f>
        <v>0.73529622994760224</v>
      </c>
      <c r="I12" s="56">
        <f t="shared" si="9"/>
        <v>0.73529622994760224</v>
      </c>
      <c r="J12" s="56">
        <f t="shared" si="9"/>
        <v>0.73529622994760224</v>
      </c>
      <c r="K12" s="56">
        <f t="shared" si="9"/>
        <v>0.73529622994760224</v>
      </c>
    </row>
    <row r="13" spans="1:11" x14ac:dyDescent="0.25">
      <c r="A13" s="57" t="s">
        <v>112</v>
      </c>
      <c r="B13" s="58">
        <f>B9-B11</f>
        <v>8228.3299999999981</v>
      </c>
      <c r="C13" s="58">
        <f t="shared" ref="C13:K13" si="10">C9-C11</f>
        <v>10350.540000000001</v>
      </c>
      <c r="D13" s="58">
        <f t="shared" si="10"/>
        <v>15585.450000000004</v>
      </c>
      <c r="E13" s="58">
        <f t="shared" si="10"/>
        <v>20009.489999999998</v>
      </c>
      <c r="F13" s="58">
        <f t="shared" si="10"/>
        <v>20870</v>
      </c>
      <c r="G13" s="58">
        <f t="shared" si="10"/>
        <v>21585.363628526509</v>
      </c>
      <c r="H13" s="58">
        <f t="shared" si="10"/>
        <v>24849.190547664781</v>
      </c>
      <c r="I13" s="58">
        <f t="shared" si="10"/>
        <v>28606.526232345161</v>
      </c>
      <c r="J13" s="58">
        <f t="shared" si="10"/>
        <v>32931.991950086085</v>
      </c>
      <c r="K13" s="58">
        <f t="shared" si="10"/>
        <v>37911.492118685885</v>
      </c>
    </row>
    <row r="14" spans="1:11" x14ac:dyDescent="0.25">
      <c r="A14" s="52" t="str">
        <f>PL!B20</f>
        <v>Employee Benefit Expenses</v>
      </c>
      <c r="B14" s="47">
        <f>PL!C20</f>
        <v>3341.53</v>
      </c>
      <c r="C14" s="47">
        <f>PL!D20</f>
        <v>3601.51</v>
      </c>
      <c r="D14" s="47">
        <f>PL!E20</f>
        <v>4021.63</v>
      </c>
      <c r="E14" s="47">
        <f>PL!F20</f>
        <v>4308.1499999999996</v>
      </c>
      <c r="F14" s="52">
        <f>PL!G20</f>
        <v>4513</v>
      </c>
      <c r="G14" s="47">
        <f>G15*G5</f>
        <v>4924.4969689853015</v>
      </c>
      <c r="H14" s="47">
        <f t="shared" ref="H14:K14" si="11">H15*H5</f>
        <v>5669.1082735337177</v>
      </c>
      <c r="I14" s="47">
        <f t="shared" si="11"/>
        <v>6526.3089447429766</v>
      </c>
      <c r="J14" s="47">
        <f t="shared" si="11"/>
        <v>7513.12312045205</v>
      </c>
      <c r="K14" s="47">
        <f t="shared" si="11"/>
        <v>8649.1490827353391</v>
      </c>
    </row>
    <row r="15" spans="1:11" x14ac:dyDescent="0.25">
      <c r="A15" s="59" t="str">
        <f>A12</f>
        <v xml:space="preserve">Percentage of sales </v>
      </c>
      <c r="B15" s="60">
        <f>B14/B5</f>
        <v>0.11224838397706076</v>
      </c>
      <c r="C15" s="60">
        <f t="shared" ref="C15:F15" si="12">C14/C5</f>
        <v>7.6822429228746769E-2</v>
      </c>
      <c r="D15" s="60">
        <f t="shared" si="12"/>
        <v>6.1588077215460495E-2</v>
      </c>
      <c r="E15" s="60">
        <f t="shared" si="12"/>
        <v>5.922187801047811E-2</v>
      </c>
      <c r="F15" s="60">
        <f t="shared" si="12"/>
        <v>6.5530209528234767E-2</v>
      </c>
      <c r="G15" s="60">
        <f>AVERAGE($D$15:$F$15)</f>
        <v>6.2113388251391122E-2</v>
      </c>
      <c r="H15" s="60">
        <f t="shared" ref="H15:K15" si="13">AVERAGE($D$15:$F$15)</f>
        <v>6.2113388251391122E-2</v>
      </c>
      <c r="I15" s="60">
        <f t="shared" si="13"/>
        <v>6.2113388251391122E-2</v>
      </c>
      <c r="J15" s="60">
        <f t="shared" si="13"/>
        <v>6.2113388251391122E-2</v>
      </c>
      <c r="K15" s="60">
        <f t="shared" si="13"/>
        <v>6.2113388251391122E-2</v>
      </c>
    </row>
    <row r="16" spans="1:11" x14ac:dyDescent="0.25">
      <c r="A16" s="52" t="str">
        <f>PL!B23</f>
        <v>Other Expenses</v>
      </c>
      <c r="B16" s="53">
        <f>PL!C23-PL!C24</f>
        <v>3432.4200000000005</v>
      </c>
      <c r="C16" s="53">
        <f>PL!D23-PL!D24</f>
        <v>5250.1</v>
      </c>
      <c r="D16" s="53">
        <f>PL!E23-PL!E24</f>
        <v>7032.77</v>
      </c>
      <c r="E16" s="53">
        <f>PL!F23-PL!F24</f>
        <v>8086.23</v>
      </c>
      <c r="F16" s="53">
        <f>PL!G23-PL!G24</f>
        <v>8346</v>
      </c>
      <c r="G16" s="47">
        <f>G17*G5</f>
        <v>8986.5267901325278</v>
      </c>
      <c r="H16" s="47">
        <f t="shared" ref="H16:K16" si="14">H17*H5</f>
        <v>10345.339574200229</v>
      </c>
      <c r="I16" s="47">
        <f t="shared" si="14"/>
        <v>11909.61240142645</v>
      </c>
      <c r="J16" s="47">
        <f t="shared" si="14"/>
        <v>13710.411971970079</v>
      </c>
      <c r="K16" s="47">
        <f t="shared" si="14"/>
        <v>15783.502443675339</v>
      </c>
    </row>
    <row r="17" spans="1:11" x14ac:dyDescent="0.25">
      <c r="A17" s="54" t="str">
        <f>A15</f>
        <v xml:space="preserve">Percentage of sales </v>
      </c>
      <c r="B17" s="61">
        <f>B16/B5</f>
        <v>0.11530155292053129</v>
      </c>
      <c r="C17" s="61">
        <f t="shared" ref="C17:F17" si="15">C16/C5</f>
        <v>0.11198787055813905</v>
      </c>
      <c r="D17" s="61">
        <f t="shared" si="15"/>
        <v>0.10770130066629056</v>
      </c>
      <c r="E17" s="61">
        <f t="shared" si="15"/>
        <v>0.11115716180371353</v>
      </c>
      <c r="F17" s="61">
        <f t="shared" si="15"/>
        <v>0.12118660064760632</v>
      </c>
      <c r="G17" s="61">
        <f>AVERAGE($D$17:$F$17)</f>
        <v>0.11334835437253681</v>
      </c>
      <c r="H17" s="61">
        <f t="shared" ref="H17:K17" si="16">AVERAGE($D$17:$F$17)</f>
        <v>0.11334835437253681</v>
      </c>
      <c r="I17" s="61">
        <f t="shared" si="16"/>
        <v>0.11334835437253681</v>
      </c>
      <c r="J17" s="61">
        <f t="shared" si="16"/>
        <v>0.11334835437253681</v>
      </c>
      <c r="K17" s="61">
        <f t="shared" si="16"/>
        <v>0.11334835437253681</v>
      </c>
    </row>
    <row r="18" spans="1:11" x14ac:dyDescent="0.25">
      <c r="A18" s="57" t="s">
        <v>113</v>
      </c>
      <c r="B18" s="62">
        <f>B13-B14-B16</f>
        <v>1454.3799999999969</v>
      </c>
      <c r="C18" s="62">
        <f t="shared" ref="C18:K18" si="17">C13-C14-C16</f>
        <v>1498.9300000000003</v>
      </c>
      <c r="D18" s="62">
        <f t="shared" si="17"/>
        <v>4531.0500000000029</v>
      </c>
      <c r="E18" s="62">
        <f t="shared" si="17"/>
        <v>7615.1099999999988</v>
      </c>
      <c r="F18" s="62">
        <f t="shared" si="17"/>
        <v>8011</v>
      </c>
      <c r="G18" s="62">
        <f t="shared" si="17"/>
        <v>7674.3398694086791</v>
      </c>
      <c r="H18" s="62">
        <f t="shared" si="17"/>
        <v>8834.7426999308336</v>
      </c>
      <c r="I18" s="62">
        <f t="shared" si="17"/>
        <v>10170.604886175734</v>
      </c>
      <c r="J18" s="62">
        <f t="shared" si="17"/>
        <v>11708.456857663954</v>
      </c>
      <c r="K18" s="62">
        <f t="shared" si="17"/>
        <v>13478.840592275204</v>
      </c>
    </row>
    <row r="19" spans="1:11" x14ac:dyDescent="0.25">
      <c r="A19" s="52" t="str">
        <f>PL!B22</f>
        <v>Depreciation And Amortisation Expenses</v>
      </c>
      <c r="B19" s="47">
        <f>PL!C22</f>
        <v>1730.71</v>
      </c>
      <c r="C19" s="47">
        <f>PL!D22</f>
        <v>1760.57</v>
      </c>
      <c r="D19" s="47">
        <f>PL!E22</f>
        <v>1766.86</v>
      </c>
      <c r="E19" s="47">
        <f>PL!F22</f>
        <v>2016.84</v>
      </c>
      <c r="F19" s="52">
        <f>PL!G22</f>
        <v>2008</v>
      </c>
      <c r="G19" s="47">
        <f>G20*G5</f>
        <v>2218.3025636442021</v>
      </c>
      <c r="H19" s="47">
        <f t="shared" ref="H19:K19" si="18">H20*H5</f>
        <v>2553.7222372070341</v>
      </c>
      <c r="I19" s="47">
        <f t="shared" si="18"/>
        <v>2939.8592291631571</v>
      </c>
      <c r="J19" s="47">
        <f t="shared" si="18"/>
        <v>3384.3822798630817</v>
      </c>
      <c r="K19" s="47">
        <f t="shared" si="18"/>
        <v>3896.1196858094704</v>
      </c>
    </row>
    <row r="20" spans="1:11" x14ac:dyDescent="0.25">
      <c r="A20" s="54" t="str">
        <f>A17</f>
        <v xml:space="preserve">Percentage of sales </v>
      </c>
      <c r="B20" s="56">
        <f>B19/B5</f>
        <v>5.8137859194123301E-2</v>
      </c>
      <c r="C20" s="56">
        <f t="shared" ref="C20:F20" si="19">C19/C5</f>
        <v>3.7554043783650376E-2</v>
      </c>
      <c r="D20" s="56">
        <f t="shared" si="19"/>
        <v>2.7058061062034181E-2</v>
      </c>
      <c r="E20" s="56">
        <f t="shared" si="19"/>
        <v>2.7724441453211394E-2</v>
      </c>
      <c r="F20" s="56">
        <f t="shared" si="19"/>
        <v>2.9156804948525461E-2</v>
      </c>
      <c r="G20" s="56">
        <f>AVERAGE($D$20:$F$20)</f>
        <v>2.7979769154590346E-2</v>
      </c>
      <c r="H20" s="56">
        <f t="shared" ref="H20:K20" si="20">AVERAGE($D$20:$F$20)</f>
        <v>2.7979769154590346E-2</v>
      </c>
      <c r="I20" s="56">
        <f t="shared" si="20"/>
        <v>2.7979769154590346E-2</v>
      </c>
      <c r="J20" s="56">
        <f t="shared" si="20"/>
        <v>2.7979769154590346E-2</v>
      </c>
      <c r="K20" s="56">
        <f t="shared" si="20"/>
        <v>2.7979769154590346E-2</v>
      </c>
    </row>
    <row r="21" spans="1:11" x14ac:dyDescent="0.25">
      <c r="A21" s="57" t="s">
        <v>114</v>
      </c>
      <c r="B21" s="62">
        <f>B18-B19</f>
        <v>-276.33000000000311</v>
      </c>
      <c r="C21" s="62">
        <f t="shared" ref="C21:K21" si="21">C18-C19</f>
        <v>-261.63999999999965</v>
      </c>
      <c r="D21" s="62">
        <f t="shared" si="21"/>
        <v>2764.1900000000032</v>
      </c>
      <c r="E21" s="62">
        <f t="shared" si="21"/>
        <v>5598.2699999999986</v>
      </c>
      <c r="F21" s="62">
        <f t="shared" si="21"/>
        <v>6003</v>
      </c>
      <c r="G21" s="62">
        <f t="shared" si="21"/>
        <v>5456.0373057644774</v>
      </c>
      <c r="H21" s="62">
        <f t="shared" si="21"/>
        <v>6281.0204627237999</v>
      </c>
      <c r="I21" s="62">
        <f t="shared" si="21"/>
        <v>7230.745657012576</v>
      </c>
      <c r="J21" s="62">
        <f t="shared" si="21"/>
        <v>8324.0745778008713</v>
      </c>
      <c r="K21" s="62">
        <f t="shared" si="21"/>
        <v>9582.7209064657345</v>
      </c>
    </row>
    <row r="22" spans="1:11" x14ac:dyDescent="0.25">
      <c r="A22" s="52" t="str">
        <f>PL!B21</f>
        <v>Finance Costs</v>
      </c>
      <c r="B22" s="47">
        <f>PL!C21</f>
        <v>2110.83</v>
      </c>
      <c r="C22" s="47">
        <f>PL!D21</f>
        <v>2121.73</v>
      </c>
      <c r="D22" s="47">
        <f>PL!E21</f>
        <v>2047.51</v>
      </c>
      <c r="E22" s="47">
        <f>PL!F21</f>
        <v>1705.74</v>
      </c>
      <c r="F22" s="52">
        <f>PL!G21</f>
        <v>1122</v>
      </c>
      <c r="G22" s="47">
        <f>G23*G5</f>
        <v>1878.8788399802079</v>
      </c>
      <c r="H22" s="47">
        <f t="shared" ref="H22:K22" si="22">H23*H5</f>
        <v>2162.9757605260543</v>
      </c>
      <c r="I22" s="47">
        <f t="shared" si="22"/>
        <v>2490.0297140354965</v>
      </c>
      <c r="J22" s="47">
        <f t="shared" si="22"/>
        <v>2866.5360425822537</v>
      </c>
      <c r="K22" s="47">
        <f t="shared" si="22"/>
        <v>3299.972220052789</v>
      </c>
    </row>
    <row r="23" spans="1:11" x14ac:dyDescent="0.25">
      <c r="A23" s="59" t="str">
        <f>A20</f>
        <v xml:space="preserve">Percentage of sales </v>
      </c>
      <c r="B23" s="60">
        <f>B22/B5</f>
        <v>7.0906817041983511E-2</v>
      </c>
      <c r="C23" s="60">
        <f t="shared" ref="C23:F23" si="23">C22/C5</f>
        <v>4.5257809298741042E-2</v>
      </c>
      <c r="D23" s="60">
        <f t="shared" si="23"/>
        <v>3.1355993460220735E-2</v>
      </c>
      <c r="E23" s="60">
        <f t="shared" si="23"/>
        <v>2.3447912955118309E-2</v>
      </c>
      <c r="F23" s="60">
        <f t="shared" si="23"/>
        <v>1.6291800374624285E-2</v>
      </c>
      <c r="G23" s="49">
        <f>AVERAGE($D$23:$F$23)</f>
        <v>2.3698568929987774E-2</v>
      </c>
      <c r="H23" s="49">
        <f t="shared" ref="H23:K23" si="24">AVERAGE($D$23:$F$23)</f>
        <v>2.3698568929987774E-2</v>
      </c>
      <c r="I23" s="49">
        <f t="shared" si="24"/>
        <v>2.3698568929987774E-2</v>
      </c>
      <c r="J23" s="49">
        <f t="shared" si="24"/>
        <v>2.3698568929987774E-2</v>
      </c>
      <c r="K23" s="49">
        <f t="shared" si="24"/>
        <v>2.3698568929987774E-2</v>
      </c>
    </row>
    <row r="24" spans="1:11" x14ac:dyDescent="0.25">
      <c r="A24" s="63" t="str">
        <f>PL!B13</f>
        <v>Other Income</v>
      </c>
      <c r="B24" s="64">
        <f>PL!C13</f>
        <v>419.99</v>
      </c>
      <c r="C24" s="64">
        <f>PL!D13</f>
        <v>659.91</v>
      </c>
      <c r="D24" s="64">
        <f>PL!E13</f>
        <v>820.94</v>
      </c>
      <c r="E24" s="64">
        <f>PL!F13</f>
        <v>1149.8800000000001</v>
      </c>
      <c r="F24" s="63">
        <f>PL!G13</f>
        <v>2796</v>
      </c>
      <c r="G24" s="64">
        <f>AVERAGE($D$24:$F$24)</f>
        <v>1588.9399999999998</v>
      </c>
      <c r="H24" s="64">
        <f t="shared" ref="H24:K24" si="25">AVERAGE($D$24:$F$24)</f>
        <v>1588.9399999999998</v>
      </c>
      <c r="I24" s="64">
        <f t="shared" si="25"/>
        <v>1588.9399999999998</v>
      </c>
      <c r="J24" s="64">
        <f t="shared" si="25"/>
        <v>1588.9399999999998</v>
      </c>
      <c r="K24" s="64">
        <f t="shared" si="25"/>
        <v>1588.9399999999998</v>
      </c>
    </row>
    <row r="25" spans="1:11" x14ac:dyDescent="0.25">
      <c r="A25" s="57" t="s">
        <v>115</v>
      </c>
      <c r="B25" s="62">
        <f>B21-B22+B24</f>
        <v>-1967.170000000003</v>
      </c>
      <c r="C25" s="62">
        <f t="shared" ref="C25:K25" si="26">C21-C22+C24</f>
        <v>-1723.46</v>
      </c>
      <c r="D25" s="62">
        <f t="shared" si="26"/>
        <v>1537.6200000000033</v>
      </c>
      <c r="E25" s="62">
        <f t="shared" si="26"/>
        <v>5042.4099999999989</v>
      </c>
      <c r="F25" s="62">
        <f t="shared" si="26"/>
        <v>7677</v>
      </c>
      <c r="G25" s="62">
        <f t="shared" si="26"/>
        <v>5166.0984657842691</v>
      </c>
      <c r="H25" s="62">
        <f t="shared" si="26"/>
        <v>5706.9847021977448</v>
      </c>
      <c r="I25" s="62">
        <f t="shared" si="26"/>
        <v>6329.6559429770796</v>
      </c>
      <c r="J25" s="62">
        <f t="shared" si="26"/>
        <v>7046.4785352186173</v>
      </c>
      <c r="K25" s="62">
        <f t="shared" si="26"/>
        <v>7871.6886864129456</v>
      </c>
    </row>
    <row r="26" spans="1:11" x14ac:dyDescent="0.25">
      <c r="A26" s="63" t="str">
        <f>PL!B31</f>
        <v>Exceptional Items</v>
      </c>
      <c r="B26" s="63">
        <f>PL!C31</f>
        <v>-307.55</v>
      </c>
      <c r="C26" s="63">
        <f>PL!D31</f>
        <v>83.41</v>
      </c>
      <c r="D26" s="63">
        <f>PL!E31</f>
        <v>-282.82</v>
      </c>
      <c r="E26" s="63">
        <f>PL!F31</f>
        <v>2808.41</v>
      </c>
      <c r="F26" s="63">
        <f>PL!G31</f>
        <v>-325</v>
      </c>
      <c r="G26" s="63">
        <f>PL!H31</f>
        <v>0</v>
      </c>
      <c r="H26" s="63">
        <f>PL!I31</f>
        <v>0</v>
      </c>
      <c r="I26" s="63">
        <f>PL!J31</f>
        <v>0</v>
      </c>
      <c r="J26" s="63">
        <f>PL!K31</f>
        <v>0</v>
      </c>
      <c r="K26" s="63">
        <f>PL!L31</f>
        <v>0</v>
      </c>
    </row>
    <row r="27" spans="1:11" x14ac:dyDescent="0.25">
      <c r="A27" s="57" t="s">
        <v>116</v>
      </c>
      <c r="B27" s="47">
        <f>B25+B26</f>
        <v>-2274.720000000003</v>
      </c>
      <c r="C27" s="47">
        <f t="shared" ref="C27:K27" si="27">C25+C26</f>
        <v>-1640.05</v>
      </c>
      <c r="D27" s="47">
        <f t="shared" si="27"/>
        <v>1254.8000000000034</v>
      </c>
      <c r="E27" s="47">
        <f t="shared" si="27"/>
        <v>7850.8199999999988</v>
      </c>
      <c r="F27" s="47">
        <f t="shared" si="27"/>
        <v>7352</v>
      </c>
      <c r="G27" s="47">
        <f t="shared" si="27"/>
        <v>5166.0984657842691</v>
      </c>
      <c r="H27" s="47">
        <f t="shared" si="27"/>
        <v>5706.9847021977448</v>
      </c>
      <c r="I27" s="47">
        <f t="shared" si="27"/>
        <v>6329.6559429770796</v>
      </c>
      <c r="J27" s="47">
        <f t="shared" si="27"/>
        <v>7046.4785352186173</v>
      </c>
      <c r="K27" s="47">
        <f t="shared" si="27"/>
        <v>7871.6886864129456</v>
      </c>
    </row>
    <row r="28" spans="1:11" x14ac:dyDescent="0.25">
      <c r="A28" s="52" t="str">
        <f>PL!B36</f>
        <v>Total Tax Expenses</v>
      </c>
      <c r="B28" s="52">
        <f>PL!C36</f>
        <v>20.72</v>
      </c>
      <c r="C28" s="52">
        <f>PL!D36</f>
        <v>99.18</v>
      </c>
      <c r="D28" s="52">
        <f>PL!E36</f>
        <v>-1473.33</v>
      </c>
      <c r="E28" s="52">
        <f>PL!F36</f>
        <v>-51.26</v>
      </c>
      <c r="F28" s="52">
        <f>PL!G36</f>
        <v>1900</v>
      </c>
      <c r="G28" s="52">
        <f>G29*G27</f>
        <v>1291.5246164460673</v>
      </c>
      <c r="H28" s="52">
        <f t="shared" ref="H28:K28" si="28">H29*H27</f>
        <v>1426.7461755494362</v>
      </c>
      <c r="I28" s="52">
        <f t="shared" si="28"/>
        <v>1582.4139857442699</v>
      </c>
      <c r="J28" s="52">
        <f t="shared" si="28"/>
        <v>1761.6196338046543</v>
      </c>
      <c r="K28" s="52">
        <f t="shared" si="28"/>
        <v>1967.9221716032364</v>
      </c>
    </row>
    <row r="29" spans="1:11" x14ac:dyDescent="0.25">
      <c r="A29" s="54" t="s">
        <v>117</v>
      </c>
      <c r="B29" s="61">
        <f>B28/B27</f>
        <v>-9.1088133924175155E-3</v>
      </c>
      <c r="C29" s="61">
        <f t="shared" ref="C29:F29" si="29">C28/C27</f>
        <v>-6.0473766043718187E-2</v>
      </c>
      <c r="D29" s="61">
        <f t="shared" si="29"/>
        <v>-1.1741552438635607</v>
      </c>
      <c r="E29" s="61">
        <f t="shared" si="29"/>
        <v>-6.5292542689808202E-3</v>
      </c>
      <c r="F29" s="61">
        <f t="shared" si="29"/>
        <v>0.2584330794341676</v>
      </c>
      <c r="G29" s="61">
        <v>0.25</v>
      </c>
      <c r="H29" s="61">
        <v>0.25</v>
      </c>
      <c r="I29" s="61">
        <v>0.25</v>
      </c>
      <c r="J29" s="61">
        <v>0.25</v>
      </c>
      <c r="K29" s="61">
        <v>0.25</v>
      </c>
    </row>
    <row r="30" spans="1:11" x14ac:dyDescent="0.25">
      <c r="A30" s="69" t="s">
        <v>118</v>
      </c>
      <c r="B30" s="70">
        <f>B27-B28</f>
        <v>-2295.4400000000028</v>
      </c>
      <c r="C30" s="70">
        <f t="shared" ref="C30:K30" si="30">C27-C28</f>
        <v>-1739.23</v>
      </c>
      <c r="D30" s="70">
        <f t="shared" si="30"/>
        <v>2728.1300000000033</v>
      </c>
      <c r="E30" s="70">
        <f t="shared" si="30"/>
        <v>7902.079999999999</v>
      </c>
      <c r="F30" s="70">
        <f t="shared" si="30"/>
        <v>5452</v>
      </c>
      <c r="G30" s="70">
        <f t="shared" si="30"/>
        <v>3874.5738493382019</v>
      </c>
      <c r="H30" s="70">
        <f t="shared" si="30"/>
        <v>4280.2385266483088</v>
      </c>
      <c r="I30" s="70">
        <f t="shared" si="30"/>
        <v>4747.2419572328099</v>
      </c>
      <c r="J30" s="70">
        <f t="shared" si="30"/>
        <v>5284.8589014139634</v>
      </c>
      <c r="K30" s="70">
        <f t="shared" si="30"/>
        <v>5903.7665148097094</v>
      </c>
    </row>
  </sheetData>
  <mergeCells count="2">
    <mergeCell ref="B2:F2"/>
    <mergeCell ref="G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93DB-11EE-4B9E-80EA-CF70E67BD181}">
  <dimension ref="B2:L59"/>
  <sheetViews>
    <sheetView topLeftCell="B1" zoomScale="110" zoomScaleNormal="110" workbookViewId="0">
      <selection activeCell="B2" sqref="B2:L4"/>
    </sheetView>
  </sheetViews>
  <sheetFormatPr defaultRowHeight="15" x14ac:dyDescent="0.25"/>
  <cols>
    <col min="2" max="2" width="31.42578125" customWidth="1"/>
    <col min="3" max="3" width="12.140625" bestFit="1" customWidth="1"/>
    <col min="4" max="7" width="10.7109375" bestFit="1" customWidth="1"/>
    <col min="8" max="8" width="12" bestFit="1" customWidth="1"/>
    <col min="9" max="12" width="8.5703125" bestFit="1" customWidth="1"/>
  </cols>
  <sheetData>
    <row r="2" spans="2:12" ht="15.75" x14ac:dyDescent="0.25">
      <c r="B2" s="14" t="s">
        <v>65</v>
      </c>
      <c r="C2" s="16"/>
      <c r="D2" s="16"/>
      <c r="E2" s="16"/>
      <c r="F2" s="16"/>
      <c r="G2" s="15"/>
    </row>
    <row r="3" spans="2:12" ht="15.75" x14ac:dyDescent="0.25">
      <c r="B3" s="17" t="s">
        <v>0</v>
      </c>
      <c r="C3" s="110" t="s">
        <v>107</v>
      </c>
      <c r="D3" s="111"/>
      <c r="E3" s="111"/>
      <c r="F3" s="111"/>
      <c r="G3" s="111"/>
      <c r="H3" s="112" t="s">
        <v>108</v>
      </c>
      <c r="I3" s="112"/>
      <c r="J3" s="112"/>
      <c r="K3" s="112"/>
      <c r="L3" s="112"/>
    </row>
    <row r="4" spans="2:12" ht="15.75" x14ac:dyDescent="0.25">
      <c r="B4" s="18" t="str">
        <f>BS!B8</f>
        <v>EQUITIES AND LIABILITIES</v>
      </c>
      <c r="C4" s="20">
        <v>44256</v>
      </c>
      <c r="D4" s="20">
        <v>44621</v>
      </c>
      <c r="E4" s="20">
        <v>44986</v>
      </c>
      <c r="F4" s="20">
        <v>45352</v>
      </c>
      <c r="G4" s="20">
        <v>45717</v>
      </c>
      <c r="H4" s="20">
        <v>46082</v>
      </c>
      <c r="I4" s="20">
        <v>46447</v>
      </c>
      <c r="J4" s="20">
        <v>46813</v>
      </c>
      <c r="K4" s="20">
        <v>47178</v>
      </c>
      <c r="L4" s="20">
        <v>47543</v>
      </c>
    </row>
    <row r="5" spans="2:12" x14ac:dyDescent="0.25">
      <c r="B5" s="39" t="str">
        <f>BS!B9</f>
        <v>SHAREHOLDER'S FUNDS</v>
      </c>
    </row>
    <row r="6" spans="2:12" x14ac:dyDescent="0.25">
      <c r="B6" s="39" t="str">
        <f>BS!B14</f>
        <v>Total Shareholders Funds</v>
      </c>
      <c r="C6" s="44">
        <f>BS!C14</f>
        <v>19055.97</v>
      </c>
      <c r="D6" s="44">
        <f>BS!D14</f>
        <v>19937.759999999998</v>
      </c>
      <c r="E6" s="44">
        <f>BS!E14</f>
        <v>22467.39</v>
      </c>
      <c r="F6" s="44">
        <f>BS!F14</f>
        <v>30141.33</v>
      </c>
      <c r="G6" s="39">
        <f>BS!G14</f>
        <v>33441</v>
      </c>
      <c r="H6" s="44">
        <f>G6+'P&amp;L assumptions '!G30</f>
        <v>37315.573849338201</v>
      </c>
      <c r="I6" s="44">
        <f>H6+'P&amp;L assumptions '!H30</f>
        <v>41595.812375986512</v>
      </c>
      <c r="J6" s="44">
        <f>I6+'P&amp;L assumptions '!I30</f>
        <v>46343.054333219319</v>
      </c>
      <c r="K6" s="44">
        <f>J6+'P&amp;L assumptions '!J30</f>
        <v>51627.913234633284</v>
      </c>
      <c r="L6" s="44">
        <f>K6+'P&amp;L assumptions '!K30</f>
        <v>57531.679749442992</v>
      </c>
    </row>
    <row r="7" spans="2:12" x14ac:dyDescent="0.25">
      <c r="B7" s="40" t="s">
        <v>119</v>
      </c>
    </row>
    <row r="8" spans="2:12" x14ac:dyDescent="0.25">
      <c r="B8" s="39" t="str">
        <f>BS!B15</f>
        <v>Equity Share Application Money</v>
      </c>
      <c r="C8" s="39">
        <f>BS!C15</f>
        <v>0</v>
      </c>
      <c r="D8" s="39">
        <f>BS!D15</f>
        <v>6.39</v>
      </c>
      <c r="E8" s="39">
        <f>BS!E15</f>
        <v>2.46</v>
      </c>
      <c r="F8" s="39">
        <f>BS!F15</f>
        <v>1.72</v>
      </c>
      <c r="G8" s="39">
        <f>BS!G15</f>
        <v>1</v>
      </c>
      <c r="H8" s="39">
        <f>BS!H15</f>
        <v>0</v>
      </c>
      <c r="I8" s="39">
        <f>BS!I15</f>
        <v>0</v>
      </c>
      <c r="J8" s="39">
        <f>BS!J15</f>
        <v>0</v>
      </c>
      <c r="K8" s="39">
        <f>BS!K15</f>
        <v>0</v>
      </c>
      <c r="L8" s="39">
        <f>BS!L15</f>
        <v>0</v>
      </c>
    </row>
    <row r="9" spans="2:12" x14ac:dyDescent="0.25">
      <c r="B9" s="39" t="str">
        <f>BS!B16</f>
        <v>NON-CURRENT LIABILITIES</v>
      </c>
    </row>
    <row r="10" spans="2:12" x14ac:dyDescent="0.25">
      <c r="B10" s="39" t="str">
        <f>BS!B17</f>
        <v>Long Term Borrowings</v>
      </c>
      <c r="C10" s="38">
        <f>BS!C17</f>
        <v>16326.77</v>
      </c>
      <c r="D10" s="38">
        <f>BS!D17</f>
        <v>14102.74</v>
      </c>
      <c r="E10" s="38">
        <f>BS!E17</f>
        <v>10445.700000000001</v>
      </c>
      <c r="F10" s="38">
        <f>BS!F17</f>
        <v>5235.67</v>
      </c>
      <c r="G10">
        <f>BS!G17</f>
        <v>3626</v>
      </c>
      <c r="H10" s="38">
        <f>H11*H6</f>
        <v>9292.3360580655171</v>
      </c>
      <c r="I10" s="38">
        <f t="shared" ref="I10:L10" si="0">I11*I6</f>
        <v>10358.202416141121</v>
      </c>
      <c r="J10" s="38">
        <f t="shared" si="0"/>
        <v>11540.362116904727</v>
      </c>
      <c r="K10" s="38">
        <f t="shared" si="0"/>
        <v>12856.399359951667</v>
      </c>
      <c r="L10" s="38">
        <f t="shared" si="0"/>
        <v>14326.557173562216</v>
      </c>
    </row>
    <row r="11" spans="2:12" x14ac:dyDescent="0.25">
      <c r="B11" s="40" t="s">
        <v>120</v>
      </c>
      <c r="C11" s="43">
        <f>C10/C6</f>
        <v>0.85677979131999049</v>
      </c>
      <c r="D11" s="43">
        <f t="shared" ref="D11:G11" si="1">D10/D6</f>
        <v>0.70733823659227524</v>
      </c>
      <c r="E11" s="43">
        <f t="shared" si="1"/>
        <v>0.46492716777516219</v>
      </c>
      <c r="F11" s="43">
        <f t="shared" si="1"/>
        <v>0.17370401372467636</v>
      </c>
      <c r="G11" s="43">
        <f t="shared" si="1"/>
        <v>0.1084297718369666</v>
      </c>
      <c r="H11" s="43">
        <f>AVERAGE($E$11:$G$11)</f>
        <v>0.24902031777893505</v>
      </c>
      <c r="I11" s="43">
        <f t="shared" ref="I11:L11" si="2">AVERAGE($E$11:$G$11)</f>
        <v>0.24902031777893505</v>
      </c>
      <c r="J11" s="43">
        <f t="shared" si="2"/>
        <v>0.24902031777893505</v>
      </c>
      <c r="K11" s="43">
        <f t="shared" si="2"/>
        <v>0.24902031777893505</v>
      </c>
      <c r="L11" s="43">
        <f t="shared" si="2"/>
        <v>0.24902031777893505</v>
      </c>
    </row>
    <row r="12" spans="2:12" x14ac:dyDescent="0.25">
      <c r="B12" s="39" t="str">
        <f>BS!B18</f>
        <v>Deferred Tax Liabilities [Net]</v>
      </c>
      <c r="C12">
        <f>BS!C18</f>
        <v>266.5</v>
      </c>
      <c r="D12">
        <f>BS!D18</f>
        <v>173.72</v>
      </c>
      <c r="E12">
        <f>BS!E18</f>
        <v>51.16</v>
      </c>
      <c r="F12">
        <f>BS!F18</f>
        <v>49.78</v>
      </c>
      <c r="G12">
        <f>BS!G18</f>
        <v>404</v>
      </c>
      <c r="H12">
        <f>BS!H18</f>
        <v>0</v>
      </c>
      <c r="I12">
        <f>BS!I18</f>
        <v>0</v>
      </c>
      <c r="J12">
        <f>BS!J18</f>
        <v>0</v>
      </c>
      <c r="K12">
        <f>BS!K18</f>
        <v>0</v>
      </c>
      <c r="L12">
        <f>BS!L18</f>
        <v>0</v>
      </c>
    </row>
    <row r="13" spans="2:12" x14ac:dyDescent="0.25">
      <c r="B13" s="40" t="s">
        <v>121</v>
      </c>
    </row>
    <row r="14" spans="2:12" x14ac:dyDescent="0.25">
      <c r="B14" s="39" t="str">
        <f>BS!B19</f>
        <v>Other Long Term Liabilities</v>
      </c>
      <c r="C14" s="38">
        <f>BS!C19</f>
        <v>1786.93</v>
      </c>
      <c r="D14" s="38">
        <f>BS!D19</f>
        <v>1212.3399999999999</v>
      </c>
      <c r="E14" s="38">
        <f>BS!E19</f>
        <v>1411.78</v>
      </c>
      <c r="F14" s="38">
        <f>BS!F19</f>
        <v>1392.16</v>
      </c>
      <c r="G14">
        <f>BS!G19</f>
        <v>1302</v>
      </c>
      <c r="H14" s="38">
        <f>H15*H6</f>
        <v>1840.3896062902174</v>
      </c>
      <c r="I14" s="38">
        <f t="shared" ref="I14:L14" si="3">I15*I6</f>
        <v>2051.4893076827557</v>
      </c>
      <c r="J14" s="38">
        <f t="shared" si="3"/>
        <v>2285.6214368551719</v>
      </c>
      <c r="K14" s="38">
        <f t="shared" si="3"/>
        <v>2546.2686248668629</v>
      </c>
      <c r="L14" s="38">
        <f t="shared" si="3"/>
        <v>2837.4400959445538</v>
      </c>
    </row>
    <row r="15" spans="2:12" x14ac:dyDescent="0.25">
      <c r="B15" s="40" t="str">
        <f>B11</f>
        <v>Percentage of TSF</v>
      </c>
      <c r="C15" s="36">
        <f>C14/C6</f>
        <v>9.3772712698435193E-2</v>
      </c>
      <c r="D15" s="36">
        <f t="shared" ref="D15:G15" si="4">D14/D6</f>
        <v>6.0806228984600079E-2</v>
      </c>
      <c r="E15" s="36">
        <f t="shared" si="4"/>
        <v>6.2836849318056082E-2</v>
      </c>
      <c r="F15" s="36">
        <f t="shared" si="4"/>
        <v>4.6187742876641479E-2</v>
      </c>
      <c r="G15" s="36">
        <f t="shared" si="4"/>
        <v>3.8934242397057506E-2</v>
      </c>
      <c r="H15" s="37">
        <f>AVERAGE($E$15:$G$15)</f>
        <v>4.9319611530585027E-2</v>
      </c>
      <c r="I15" s="37">
        <f t="shared" ref="I15:L15" si="5">AVERAGE($E$15:$G$15)</f>
        <v>4.9319611530585027E-2</v>
      </c>
      <c r="J15" s="37">
        <f t="shared" si="5"/>
        <v>4.9319611530585027E-2</v>
      </c>
      <c r="K15" s="37">
        <f t="shared" si="5"/>
        <v>4.9319611530585027E-2</v>
      </c>
      <c r="L15" s="37">
        <f t="shared" si="5"/>
        <v>4.9319611530585027E-2</v>
      </c>
    </row>
    <row r="16" spans="2:12" x14ac:dyDescent="0.25">
      <c r="B16" s="39" t="str">
        <f>BS!B20</f>
        <v>Long Term Provisions</v>
      </c>
      <c r="C16">
        <f>BS!C20</f>
        <v>1371.94</v>
      </c>
      <c r="D16">
        <f>BS!D20</f>
        <v>1474.11</v>
      </c>
      <c r="E16">
        <f>BS!E20</f>
        <v>1588.75</v>
      </c>
      <c r="F16">
        <f>BS!F20</f>
        <v>1936.92</v>
      </c>
      <c r="G16">
        <f>BS!G20</f>
        <v>2222</v>
      </c>
      <c r="H16" s="38">
        <f>H17*H6</f>
        <v>2505.3706792226781</v>
      </c>
      <c r="I16" s="38">
        <f t="shared" ref="I16:L16" si="6">I17*I6</f>
        <v>2792.7462438606622</v>
      </c>
      <c r="J16" s="38">
        <f t="shared" si="6"/>
        <v>3111.4764570110005</v>
      </c>
      <c r="K16" s="38">
        <f t="shared" si="6"/>
        <v>3466.3023157500411</v>
      </c>
      <c r="L16" s="38">
        <f t="shared" si="6"/>
        <v>3862.6816822553005</v>
      </c>
    </row>
    <row r="17" spans="2:12" x14ac:dyDescent="0.25">
      <c r="B17" s="41" t="str">
        <f>B15</f>
        <v>Percentage of TSF</v>
      </c>
      <c r="C17" s="42">
        <f>C16/C6</f>
        <v>7.1995285466969136E-2</v>
      </c>
      <c r="D17" s="42">
        <f t="shared" ref="D17:G17" si="7">D16/D6</f>
        <v>7.3935587548450782E-2</v>
      </c>
      <c r="E17" s="42">
        <f t="shared" si="7"/>
        <v>7.0713598686807863E-2</v>
      </c>
      <c r="F17" s="42">
        <f t="shared" si="7"/>
        <v>6.426126517973825E-2</v>
      </c>
      <c r="G17" s="42">
        <f t="shared" si="7"/>
        <v>6.6445381418019797E-2</v>
      </c>
      <c r="H17" s="42">
        <f>AVERAGE($E$17:$G$17)</f>
        <v>6.7140081761521975E-2</v>
      </c>
      <c r="I17" s="42">
        <f t="shared" ref="I17:L17" si="8">AVERAGE($E$17:$G$17)</f>
        <v>6.7140081761521975E-2</v>
      </c>
      <c r="J17" s="42">
        <f t="shared" si="8"/>
        <v>6.7140081761521975E-2</v>
      </c>
      <c r="K17" s="42">
        <f t="shared" si="8"/>
        <v>6.7140081761521975E-2</v>
      </c>
      <c r="L17" s="42">
        <f t="shared" si="8"/>
        <v>6.7140081761521975E-2</v>
      </c>
    </row>
    <row r="18" spans="2:12" x14ac:dyDescent="0.25">
      <c r="B18" s="39" t="str">
        <f>BS!B21</f>
        <v>Total Non-Current Liabilities</v>
      </c>
      <c r="C18" s="44">
        <f>C10+C12+C14+C16</f>
        <v>19752.14</v>
      </c>
      <c r="D18" s="44">
        <f t="shared" ref="D18:L18" si="9">D10+D12+D14+D16</f>
        <v>16962.91</v>
      </c>
      <c r="E18" s="44">
        <f t="shared" si="9"/>
        <v>13497.390000000001</v>
      </c>
      <c r="F18" s="44">
        <f t="shared" si="9"/>
        <v>8614.5299999999988</v>
      </c>
      <c r="G18" s="44">
        <f t="shared" si="9"/>
        <v>7554</v>
      </c>
      <c r="H18" s="44">
        <f t="shared" si="9"/>
        <v>13638.096343578412</v>
      </c>
      <c r="I18" s="44">
        <f t="shared" si="9"/>
        <v>15202.437967684538</v>
      </c>
      <c r="J18" s="44">
        <f t="shared" si="9"/>
        <v>16937.460010770901</v>
      </c>
      <c r="K18" s="44">
        <f t="shared" si="9"/>
        <v>18868.970300568573</v>
      </c>
      <c r="L18" s="44">
        <f t="shared" si="9"/>
        <v>21026.678951762071</v>
      </c>
    </row>
    <row r="19" spans="2:12" x14ac:dyDescent="0.25">
      <c r="B19" s="39" t="str">
        <f>BS!B22</f>
        <v>CURRENT LIABILITIES</v>
      </c>
    </row>
    <row r="20" spans="2:12" x14ac:dyDescent="0.25">
      <c r="B20" t="str">
        <f>BS!B23</f>
        <v>Short Term Borrowings</v>
      </c>
      <c r="C20" s="38">
        <f>BS!C23</f>
        <v>5421.95</v>
      </c>
      <c r="D20" s="38">
        <f>BS!D23</f>
        <v>9129.91</v>
      </c>
      <c r="E20" s="38">
        <f>BS!E23</f>
        <v>8426.74</v>
      </c>
      <c r="F20" s="38">
        <f>BS!F23</f>
        <v>8535.3700000000008</v>
      </c>
      <c r="G20" s="38">
        <f>BS!G23</f>
        <v>4982</v>
      </c>
      <c r="H20" s="38">
        <f>H21*'P&amp;L assumptions '!G5</f>
        <v>8422.9685747536023</v>
      </c>
      <c r="I20" s="38">
        <f>I21*'P&amp;L assumptions '!H5</f>
        <v>9696.5682252596143</v>
      </c>
      <c r="J20" s="38">
        <f>J21*'P&amp;L assumptions '!I5</f>
        <v>11162.743219645083</v>
      </c>
      <c r="K20" s="38">
        <f>K21*'P&amp;L assumptions '!J5</f>
        <v>12850.612019944414</v>
      </c>
      <c r="L20" s="38">
        <f>L21*'P&amp;L assumptions '!K5</f>
        <v>14793.695961447582</v>
      </c>
    </row>
    <row r="21" spans="2:12" x14ac:dyDescent="0.25">
      <c r="B21" s="40" t="s">
        <v>122</v>
      </c>
      <c r="C21" s="37">
        <f>C20/'P&amp;L assumptions '!B5</f>
        <v>0.18213367095445038</v>
      </c>
      <c r="D21" s="37">
        <f>D20/'P&amp;L assumptions '!C5</f>
        <v>0.19474661040503213</v>
      </c>
      <c r="E21" s="37">
        <f>E20/'P&amp;L assumptions '!D5</f>
        <v>0.12904884680952985</v>
      </c>
      <c r="F21" s="37">
        <f>F20/'P&amp;L assumptions '!E5</f>
        <v>0.11733125376653428</v>
      </c>
      <c r="G21" s="37">
        <f>G20/'P&amp;L assumptions '!F5</f>
        <v>7.2340240166112471E-2</v>
      </c>
      <c r="H21" s="37">
        <f>AVERAGE($E$21:$G$21)</f>
        <v>0.10624011358072553</v>
      </c>
      <c r="I21" s="37">
        <f t="shared" ref="I21:L21" si="10">AVERAGE($E$21:$G$21)</f>
        <v>0.10624011358072553</v>
      </c>
      <c r="J21" s="37">
        <f t="shared" si="10"/>
        <v>0.10624011358072553</v>
      </c>
      <c r="K21" s="37">
        <f t="shared" si="10"/>
        <v>0.10624011358072553</v>
      </c>
      <c r="L21" s="37">
        <f t="shared" si="10"/>
        <v>0.10624011358072553</v>
      </c>
    </row>
    <row r="22" spans="2:12" x14ac:dyDescent="0.25">
      <c r="B22" t="str">
        <f>BS!B24</f>
        <v>Trade Payables</v>
      </c>
      <c r="C22">
        <f>BS!C24</f>
        <v>8115.01</v>
      </c>
      <c r="D22">
        <f>BS!D24</f>
        <v>6102.1</v>
      </c>
      <c r="E22">
        <f>BS!E24</f>
        <v>7162.6</v>
      </c>
      <c r="F22">
        <f>BS!F24</f>
        <v>8826.4599999999991</v>
      </c>
      <c r="G22">
        <f>BS!G24</f>
        <v>13267</v>
      </c>
      <c r="H22" s="38">
        <f>(H23*'P&amp;L assumptions '!G11)/365</f>
        <v>11302.650158520606</v>
      </c>
      <c r="I22" s="38">
        <f>(I23*'P&amp;L assumptions '!H11)/365</f>
        <v>13011.673665367141</v>
      </c>
      <c r="J22" s="38">
        <f>(J23*'P&amp;L assumptions '!I11)/365</f>
        <v>14979.111022593022</v>
      </c>
      <c r="K22" s="38">
        <f>(K23*'P&amp;L assumptions '!J11)/365</f>
        <v>17244.03584024536</v>
      </c>
      <c r="L22" s="38">
        <f>(L23*'P&amp;L assumptions '!K11)/365</f>
        <v>19851.429875321897</v>
      </c>
    </row>
    <row r="23" spans="2:12" x14ac:dyDescent="0.25">
      <c r="B23" s="40" t="s">
        <v>123</v>
      </c>
      <c r="C23" s="71">
        <f>(C22/'P&amp;L assumptions '!B11)*365</f>
        <v>134.9623701968861</v>
      </c>
      <c r="D23" s="71">
        <f>(D22/'P&amp;L assumptions '!C11)*365</f>
        <v>60.338039516551568</v>
      </c>
      <c r="E23" s="71">
        <f>(E22/'P&amp;L assumptions '!D11)*365</f>
        <v>52.107854040948837</v>
      </c>
      <c r="F23" s="71">
        <f>(F22/'P&amp;L assumptions '!E11)*365</f>
        <v>60.451133053712461</v>
      </c>
      <c r="G23" s="71">
        <f>(G22/'P&amp;L assumptions '!F11)*365</f>
        <v>99.74366104348185</v>
      </c>
      <c r="H23" s="71">
        <f>AVERAGE($E$23:$G$23)</f>
        <v>70.767549379381038</v>
      </c>
      <c r="I23" s="71">
        <f t="shared" ref="I23:L23" si="11">AVERAGE($E$23:$G$23)</f>
        <v>70.767549379381038</v>
      </c>
      <c r="J23" s="71">
        <f t="shared" si="11"/>
        <v>70.767549379381038</v>
      </c>
      <c r="K23" s="71">
        <f t="shared" si="11"/>
        <v>70.767549379381038</v>
      </c>
      <c r="L23" s="71">
        <f t="shared" si="11"/>
        <v>70.767549379381038</v>
      </c>
    </row>
    <row r="24" spans="2:12" x14ac:dyDescent="0.25">
      <c r="B24" t="str">
        <f>BS!B25</f>
        <v>Other Current Liabilities</v>
      </c>
      <c r="C24" s="38">
        <f>BS!C25</f>
        <v>11671.05</v>
      </c>
      <c r="D24" s="38">
        <f>BS!D25</f>
        <v>11152.74</v>
      </c>
      <c r="E24" s="38">
        <f>BS!E25</f>
        <v>9805.2999999999993</v>
      </c>
      <c r="F24" s="38">
        <f>BS!F25</f>
        <v>8830.41</v>
      </c>
      <c r="G24" s="38">
        <f>BS!G25</f>
        <v>4040</v>
      </c>
      <c r="H24" s="38">
        <f>H25*'P&amp;L assumptions '!G5</f>
        <v>8726.5981841187167</v>
      </c>
      <c r="I24" s="38">
        <f>I25*'P&amp;L assumptions '!H5</f>
        <v>10046.108318670671</v>
      </c>
      <c r="J24" s="38">
        <f>J25*'P&amp;L assumptions '!I5</f>
        <v>11565.135717390223</v>
      </c>
      <c r="K24" s="38">
        <f>K25*'P&amp;L assumptions '!J5</f>
        <v>13313.848499231945</v>
      </c>
      <c r="L24" s="38">
        <f>L25*'P&amp;L assumptions '!K5</f>
        <v>15326.976370364697</v>
      </c>
    </row>
    <row r="25" spans="2:12" x14ac:dyDescent="0.25">
      <c r="B25" s="40" t="s">
        <v>122</v>
      </c>
      <c r="C25" s="72">
        <f>C24/'P&amp;L assumptions '!B5</f>
        <v>0.39205289248202912</v>
      </c>
      <c r="D25" s="72">
        <f>D24/'P&amp;L assumptions '!C5</f>
        <v>0.2378948217155063</v>
      </c>
      <c r="E25" s="72">
        <f>E24/'P&amp;L assumptions '!D5</f>
        <v>0.15016040101171782</v>
      </c>
      <c r="F25" s="72">
        <f>F24/'P&amp;L assumptions '!E5</f>
        <v>0.12138701386964383</v>
      </c>
      <c r="G25" s="72">
        <f>G24/'P&amp;L assumptions '!F5</f>
        <v>5.8662097605599033E-2</v>
      </c>
      <c r="H25" s="43">
        <f>AVERAGE($E$25:$G$25)</f>
        <v>0.11006983749565356</v>
      </c>
      <c r="I25" s="43">
        <f t="shared" ref="I25:L25" si="12">AVERAGE($E$25:$G$25)</f>
        <v>0.11006983749565356</v>
      </c>
      <c r="J25" s="43">
        <f t="shared" si="12"/>
        <v>0.11006983749565356</v>
      </c>
      <c r="K25" s="43">
        <f t="shared" si="12"/>
        <v>0.11006983749565356</v>
      </c>
      <c r="L25" s="43">
        <f t="shared" si="12"/>
        <v>0.11006983749565356</v>
      </c>
    </row>
    <row r="26" spans="2:12" x14ac:dyDescent="0.25">
      <c r="B26" t="str">
        <f>BS!B26</f>
        <v>Short Term Provisions</v>
      </c>
      <c r="C26" s="38">
        <f>BS!C26</f>
        <v>1043.54</v>
      </c>
      <c r="D26" s="38">
        <f>BS!D26</f>
        <v>608.05999999999995</v>
      </c>
      <c r="E26" s="38">
        <f>BS!E26</f>
        <v>408.89</v>
      </c>
      <c r="F26" s="38">
        <f>BS!F26</f>
        <v>1133.92</v>
      </c>
      <c r="G26">
        <f>BS!G26</f>
        <v>2135</v>
      </c>
      <c r="H26" s="38">
        <f>H27*'P&amp;L assumptions '!G5</f>
        <v>1396.6942342410778</v>
      </c>
      <c r="I26" s="38">
        <f>I27*'P&amp;L assumptions '!H5</f>
        <v>1607.8821631530927</v>
      </c>
      <c r="J26" s="38">
        <f>J27*'P&amp;L assumptions '!I5</f>
        <v>1851.0028803767746</v>
      </c>
      <c r="K26" s="38">
        <f>K27*'P&amp;L assumptions '!J5</f>
        <v>2130.8848009385451</v>
      </c>
      <c r="L26" s="38">
        <f>L27*'P&amp;L assumptions '!K5</f>
        <v>2453.0864230457837</v>
      </c>
    </row>
    <row r="27" spans="2:12" x14ac:dyDescent="0.25">
      <c r="B27" s="41" t="str">
        <f>B25</f>
        <v>Percentage of Sales</v>
      </c>
      <c r="C27" s="42">
        <f>C26/'P&amp;L assumptions '!B5</f>
        <v>3.505450455791867E-2</v>
      </c>
      <c r="D27" s="42">
        <f>D26/'P&amp;L assumptions '!C5</f>
        <v>1.2970294769924768E-2</v>
      </c>
      <c r="E27" s="42">
        <f>E26/'P&amp;L assumptions '!D5</f>
        <v>6.2618263969160867E-3</v>
      </c>
      <c r="F27" s="42">
        <f>F26/'P&amp;L assumptions '!E5</f>
        <v>1.5587403389770865E-2</v>
      </c>
      <c r="G27" s="42">
        <f>G26/'P&amp;L assumptions '!F5</f>
        <v>3.100088573959256E-2</v>
      </c>
      <c r="H27" s="42">
        <f>AVERAGE($E$27:$G$27)</f>
        <v>1.7616705175426503E-2</v>
      </c>
      <c r="I27" s="42">
        <f t="shared" ref="I27:L27" si="13">AVERAGE($E$27:$G$27)</f>
        <v>1.7616705175426503E-2</v>
      </c>
      <c r="J27" s="42">
        <f t="shared" si="13"/>
        <v>1.7616705175426503E-2</v>
      </c>
      <c r="K27" s="42">
        <f t="shared" si="13"/>
        <v>1.7616705175426503E-2</v>
      </c>
      <c r="L27" s="42">
        <f t="shared" si="13"/>
        <v>1.7616705175426503E-2</v>
      </c>
    </row>
    <row r="28" spans="2:12" x14ac:dyDescent="0.25">
      <c r="B28" s="74" t="str">
        <f>BS!B27</f>
        <v>Total Current Liabilities</v>
      </c>
      <c r="C28" s="75">
        <f>C26+C24+C22+C20</f>
        <v>26251.55</v>
      </c>
      <c r="D28" s="75">
        <f t="shared" ref="D28:L28" si="14">D26+D24+D22+D20</f>
        <v>26992.81</v>
      </c>
      <c r="E28" s="75">
        <f t="shared" si="14"/>
        <v>25803.53</v>
      </c>
      <c r="F28" s="75">
        <f t="shared" si="14"/>
        <v>27326.160000000003</v>
      </c>
      <c r="G28" s="75">
        <f t="shared" si="14"/>
        <v>24424</v>
      </c>
      <c r="H28" s="75">
        <f t="shared" si="14"/>
        <v>29848.911151634002</v>
      </c>
      <c r="I28" s="75">
        <f t="shared" si="14"/>
        <v>34362.232372450519</v>
      </c>
      <c r="J28" s="75">
        <f t="shared" si="14"/>
        <v>39557.992840005099</v>
      </c>
      <c r="K28" s="75">
        <f t="shared" si="14"/>
        <v>45539.381160360266</v>
      </c>
      <c r="L28" s="75">
        <f t="shared" si="14"/>
        <v>52425.188630179953</v>
      </c>
    </row>
    <row r="29" spans="2:12" ht="15.75" thickBot="1" x14ac:dyDescent="0.3">
      <c r="B29" s="76" t="str">
        <f>BS!B28</f>
        <v>Total Capital And Liabilities</v>
      </c>
      <c r="C29" s="77">
        <f>C28+C18+C8+C6</f>
        <v>65059.66</v>
      </c>
      <c r="D29" s="77">
        <f t="shared" ref="D29:L29" si="15">D28+D18+D8+D6</f>
        <v>63899.869999999995</v>
      </c>
      <c r="E29" s="77">
        <f t="shared" si="15"/>
        <v>61770.77</v>
      </c>
      <c r="F29" s="77">
        <f t="shared" si="15"/>
        <v>66083.740000000005</v>
      </c>
      <c r="G29" s="77">
        <f t="shared" si="15"/>
        <v>65420</v>
      </c>
      <c r="H29" s="77">
        <f t="shared" si="15"/>
        <v>80802.581344550621</v>
      </c>
      <c r="I29" s="77">
        <f t="shared" si="15"/>
        <v>91160.482716121565</v>
      </c>
      <c r="J29" s="77">
        <f t="shared" si="15"/>
        <v>102838.50718399532</v>
      </c>
      <c r="K29" s="77">
        <f t="shared" si="15"/>
        <v>116036.26469556213</v>
      </c>
      <c r="L29" s="77">
        <f t="shared" si="15"/>
        <v>130983.54733138502</v>
      </c>
    </row>
    <row r="30" spans="2:12" ht="15.75" thickTop="1" x14ac:dyDescent="0.25"/>
    <row r="31" spans="2:12" x14ac:dyDescent="0.25">
      <c r="B31" s="39" t="str">
        <f>BS!B29</f>
        <v>ASSETS</v>
      </c>
    </row>
    <row r="32" spans="2:12" x14ac:dyDescent="0.25">
      <c r="B32" s="39" t="str">
        <f>BS!B30</f>
        <v>NON-CURRENT ASSETS</v>
      </c>
    </row>
    <row r="33" spans="2:12" x14ac:dyDescent="0.25">
      <c r="B33" t="str">
        <f>BS!B35</f>
        <v>Fixed Assets</v>
      </c>
      <c r="C33" s="38">
        <f>BS!C35</f>
        <v>29429.56</v>
      </c>
      <c r="D33" s="38">
        <f>BS!D35</f>
        <v>15543</v>
      </c>
      <c r="E33" s="38">
        <f>BS!E35</f>
        <v>15627.27</v>
      </c>
      <c r="F33" s="38">
        <f>BS!F35</f>
        <v>15578</v>
      </c>
      <c r="G33" s="38">
        <f>BS!G35</f>
        <v>15939</v>
      </c>
      <c r="H33" s="38">
        <f>H35*'P&amp;L assumptions '!G5</f>
        <v>18100.199413105896</v>
      </c>
      <c r="I33" s="38">
        <f>I35*'P&amp;L assumptions '!H5</f>
        <v>20837.050137649312</v>
      </c>
      <c r="J33" s="38">
        <f>J35*'P&amp;L assumptions '!I5</f>
        <v>23987.727898982728</v>
      </c>
      <c r="K33" s="38">
        <f>K35*'P&amp;L assumptions '!J5</f>
        <v>27614.805644487838</v>
      </c>
      <c r="L33" s="38">
        <f>L35*'P&amp;L assumptions '!K5</f>
        <v>31790.317698875384</v>
      </c>
    </row>
    <row r="34" spans="2:12" x14ac:dyDescent="0.25">
      <c r="B34" s="40" t="s">
        <v>120</v>
      </c>
      <c r="C34" s="43">
        <f>C33/C6</f>
        <v>1.5443748074750328</v>
      </c>
      <c r="D34" s="43">
        <f t="shared" ref="D34:G34" si="16">D33/D6</f>
        <v>0.77957604063846697</v>
      </c>
      <c r="E34" s="43">
        <f t="shared" si="16"/>
        <v>0.6955534220930869</v>
      </c>
      <c r="F34" s="43">
        <f t="shared" si="16"/>
        <v>0.51683187171899847</v>
      </c>
      <c r="G34" s="43">
        <f t="shared" si="16"/>
        <v>0.47663048353817172</v>
      </c>
      <c r="H34" s="40"/>
      <c r="I34" s="40"/>
      <c r="J34" s="40"/>
      <c r="K34" s="40"/>
      <c r="L34" s="40"/>
    </row>
    <row r="35" spans="2:12" x14ac:dyDescent="0.25">
      <c r="B35" s="40" t="s">
        <v>110</v>
      </c>
      <c r="C35" s="43">
        <f>C33/'P&amp;L assumptions '!B5</f>
        <v>0.98859520972606807</v>
      </c>
      <c r="D35" s="43">
        <f>D33/'P&amp;L assumptions '!C5</f>
        <v>0.33154177483955644</v>
      </c>
      <c r="E35" s="43">
        <f>E33/'P&amp;L assumptions '!D5</f>
        <v>0.23931925896386522</v>
      </c>
      <c r="F35" s="43">
        <f>F33/'P&amp;L assumptions '!E5</f>
        <v>0.21414259383893969</v>
      </c>
      <c r="G35" s="43">
        <f>G33/'P&amp;L assumptions '!F5</f>
        <v>0.23143939943951561</v>
      </c>
      <c r="H35" s="43">
        <f>AVERAGE($E$35:$G$35)</f>
        <v>0.22830041741410687</v>
      </c>
      <c r="I35" s="43">
        <f t="shared" ref="I35:L35" si="17">AVERAGE($E$35:$G$35)</f>
        <v>0.22830041741410687</v>
      </c>
      <c r="J35" s="43">
        <f t="shared" si="17"/>
        <v>0.22830041741410687</v>
      </c>
      <c r="K35" s="43">
        <f t="shared" si="17"/>
        <v>0.22830041741410687</v>
      </c>
      <c r="L35" s="43">
        <f t="shared" si="17"/>
        <v>0.22830041741410687</v>
      </c>
    </row>
    <row r="36" spans="2:12" x14ac:dyDescent="0.25">
      <c r="B36" t="str">
        <f>BS!B36</f>
        <v>Non-Current Investments</v>
      </c>
      <c r="C36" s="38">
        <f>BS!C36</f>
        <v>16114.91</v>
      </c>
      <c r="D36" s="38">
        <f>BS!D36</f>
        <v>29256.39</v>
      </c>
      <c r="E36" s="38">
        <f>BS!E36</f>
        <v>29181.62</v>
      </c>
      <c r="F36" s="38">
        <f>BS!F36</f>
        <v>30315.57</v>
      </c>
      <c r="G36" s="38">
        <f>BS!G36</f>
        <v>31427</v>
      </c>
      <c r="H36" s="38">
        <f>H37*H6</f>
        <v>40355.532360722784</v>
      </c>
      <c r="I36" s="38">
        <f t="shared" ref="I36:L36" si="18">I37*I6</f>
        <v>44984.465713621808</v>
      </c>
      <c r="J36" s="38">
        <f t="shared" si="18"/>
        <v>50118.447498352885</v>
      </c>
      <c r="K36" s="38">
        <f t="shared" si="18"/>
        <v>55833.843844097348</v>
      </c>
      <c r="L36" s="38">
        <f t="shared" si="18"/>
        <v>62218.567863095115</v>
      </c>
    </row>
    <row r="37" spans="2:12" x14ac:dyDescent="0.25">
      <c r="B37" s="40" t="str">
        <f>B34</f>
        <v>Percentage of TSF</v>
      </c>
      <c r="C37" s="43">
        <f>(C36/C6)</f>
        <v>0.84566201563079701</v>
      </c>
      <c r="D37" s="43">
        <f t="shared" ref="D37:G37" si="19">(D36/D6)</f>
        <v>1.467386005248333</v>
      </c>
      <c r="E37" s="43">
        <f t="shared" si="19"/>
        <v>1.2988433458447999</v>
      </c>
      <c r="F37" s="43">
        <f t="shared" si="19"/>
        <v>1.0057807668075696</v>
      </c>
      <c r="G37" s="43">
        <f t="shared" si="19"/>
        <v>0.93977452827367602</v>
      </c>
      <c r="H37" s="37">
        <f>AVERAGE($E$37:$G$37)</f>
        <v>1.0814662136420152</v>
      </c>
      <c r="I37" s="37">
        <f t="shared" ref="I37:L37" si="20">AVERAGE($E$37:$G$37)</f>
        <v>1.0814662136420152</v>
      </c>
      <c r="J37" s="37">
        <f t="shared" si="20"/>
        <v>1.0814662136420152</v>
      </c>
      <c r="K37" s="37">
        <f t="shared" si="20"/>
        <v>1.0814662136420152</v>
      </c>
      <c r="L37" s="37">
        <f t="shared" si="20"/>
        <v>1.0814662136420152</v>
      </c>
    </row>
    <row r="38" spans="2:12" x14ac:dyDescent="0.25">
      <c r="B38" t="str">
        <f>BS!B37</f>
        <v>Deferred Tax Assets [Net]</v>
      </c>
      <c r="C38">
        <f>BS!C37</f>
        <v>0</v>
      </c>
      <c r="D38">
        <f>BS!D37</f>
        <v>0</v>
      </c>
      <c r="E38">
        <f>BS!E37</f>
        <v>1477.26</v>
      </c>
      <c r="F38">
        <f>BS!F37</f>
        <v>1558.65</v>
      </c>
      <c r="G38">
        <f>BS!G37</f>
        <v>0</v>
      </c>
      <c r="H38">
        <f>BS!H37</f>
        <v>0</v>
      </c>
      <c r="I38">
        <f>BS!I37</f>
        <v>0</v>
      </c>
      <c r="J38">
        <f>BS!J37</f>
        <v>0</v>
      </c>
      <c r="K38">
        <f>BS!K37</f>
        <v>0</v>
      </c>
      <c r="L38">
        <f>BS!L37</f>
        <v>0</v>
      </c>
    </row>
    <row r="39" spans="2:12" x14ac:dyDescent="0.25">
      <c r="B39" s="40" t="s">
        <v>124</v>
      </c>
    </row>
    <row r="40" spans="2:12" x14ac:dyDescent="0.25">
      <c r="B40" t="str">
        <f>BS!B38</f>
        <v>Long Term Loans And Advances</v>
      </c>
      <c r="C40" s="38">
        <f>BS!C38</f>
        <v>72.39</v>
      </c>
      <c r="D40" s="38">
        <f>BS!D38</f>
        <v>48.43</v>
      </c>
      <c r="E40" s="38">
        <f>BS!E38</f>
        <v>114.4</v>
      </c>
      <c r="F40" s="38">
        <f>BS!F38</f>
        <v>101.89</v>
      </c>
      <c r="G40" s="38">
        <f>BS!G38</f>
        <v>255</v>
      </c>
      <c r="H40" s="38">
        <f>H41*H6</f>
        <v>200.23042471152655</v>
      </c>
      <c r="I40" s="38">
        <f t="shared" ref="I40:L40" si="21">I41*I6</f>
        <v>223.19761748518476</v>
      </c>
      <c r="J40" s="38">
        <f t="shared" si="21"/>
        <v>248.67068878627001</v>
      </c>
      <c r="K40" s="38">
        <f t="shared" si="21"/>
        <v>277.02854137197738</v>
      </c>
      <c r="L40" s="38">
        <f t="shared" si="21"/>
        <v>308.70737020175301</v>
      </c>
    </row>
    <row r="41" spans="2:12" x14ac:dyDescent="0.25">
      <c r="B41" s="40" t="str">
        <f>B34</f>
        <v>Percentage of TSF</v>
      </c>
      <c r="C41" s="79">
        <f>C40/C6</f>
        <v>3.7988095069419188E-3</v>
      </c>
      <c r="D41" s="79">
        <f t="shared" ref="D41:G41" si="22">D40/D6</f>
        <v>2.4290592323310141E-3</v>
      </c>
      <c r="E41" s="79">
        <f t="shared" si="22"/>
        <v>5.0918241949776989E-3</v>
      </c>
      <c r="F41" s="79">
        <f t="shared" si="22"/>
        <v>3.3804082301610444E-3</v>
      </c>
      <c r="G41" s="79">
        <f t="shared" si="22"/>
        <v>7.6253700547232435E-3</v>
      </c>
      <c r="H41" s="79">
        <f>AVERAGE($E$41:$G$41)</f>
        <v>5.3658674932873284E-3</v>
      </c>
      <c r="I41" s="79">
        <f t="shared" ref="I41:L41" si="23">AVERAGE($E$41:$G$41)</f>
        <v>5.3658674932873284E-3</v>
      </c>
      <c r="J41" s="79">
        <f t="shared" si="23"/>
        <v>5.3658674932873284E-3</v>
      </c>
      <c r="K41" s="79">
        <f t="shared" si="23"/>
        <v>5.3658674932873284E-3</v>
      </c>
      <c r="L41" s="78">
        <f t="shared" si="23"/>
        <v>5.3658674932873284E-3</v>
      </c>
    </row>
    <row r="42" spans="2:12" x14ac:dyDescent="0.25">
      <c r="B42" t="str">
        <f>BS!B39</f>
        <v>Other Non-Current Assets</v>
      </c>
      <c r="C42" s="38">
        <f>BS!C39</f>
        <v>3588.21</v>
      </c>
      <c r="D42" s="38">
        <f>BS!D39</f>
        <v>3432.44</v>
      </c>
      <c r="E42" s="38">
        <f>BS!E39</f>
        <v>3870.27</v>
      </c>
      <c r="F42" s="38">
        <f>BS!F39</f>
        <v>3321.96</v>
      </c>
      <c r="G42" s="38">
        <f>BS!G39</f>
        <v>2899</v>
      </c>
      <c r="H42" s="38">
        <f>H43*H6</f>
        <v>4591.8610174732512</v>
      </c>
      <c r="I42" s="38">
        <f t="shared" ref="I42:L42" si="24">I43*I6</f>
        <v>5118.5649753262824</v>
      </c>
      <c r="J42" s="38">
        <f t="shared" si="24"/>
        <v>5702.7359536942686</v>
      </c>
      <c r="K42" s="38">
        <f t="shared" si="24"/>
        <v>6353.0632853930601</v>
      </c>
      <c r="L42" s="38">
        <f t="shared" si="24"/>
        <v>7079.5501786423083</v>
      </c>
    </row>
    <row r="43" spans="2:12" x14ac:dyDescent="0.25">
      <c r="B43" s="41" t="str">
        <f>B41</f>
        <v>Percentage of TSF</v>
      </c>
      <c r="C43" s="73">
        <f>C42/C6</f>
        <v>0.18829847024318364</v>
      </c>
      <c r="D43" s="73">
        <f t="shared" ref="D43:G43" si="25">D42/D6</f>
        <v>0.17215775493335261</v>
      </c>
      <c r="E43" s="73">
        <f t="shared" si="25"/>
        <v>0.17226166457252046</v>
      </c>
      <c r="F43" s="73">
        <f t="shared" si="25"/>
        <v>0.11021278755781513</v>
      </c>
      <c r="G43" s="73">
        <f t="shared" si="25"/>
        <v>8.6689991328010529E-2</v>
      </c>
      <c r="H43" s="73">
        <f>AVERAGE($E$43:$G$43)</f>
        <v>0.12305481448611538</v>
      </c>
      <c r="I43" s="73">
        <f t="shared" ref="I43:L43" si="26">AVERAGE($E$43:$G$43)</f>
        <v>0.12305481448611538</v>
      </c>
      <c r="J43" s="73">
        <f t="shared" si="26"/>
        <v>0.12305481448611538</v>
      </c>
      <c r="K43" s="73">
        <f t="shared" si="26"/>
        <v>0.12305481448611538</v>
      </c>
      <c r="L43" s="73">
        <f t="shared" si="26"/>
        <v>0.12305481448611538</v>
      </c>
    </row>
    <row r="44" spans="2:12" x14ac:dyDescent="0.25">
      <c r="B44" s="39" t="str">
        <f>BS!B40</f>
        <v>Total Non-Current Assets</v>
      </c>
      <c r="C44" s="44">
        <f>C42+C40+C38+C36+C33</f>
        <v>49205.07</v>
      </c>
      <c r="D44" s="44">
        <f t="shared" ref="D44:L44" si="27">D42+D40+D38+D36+D33</f>
        <v>48280.259999999995</v>
      </c>
      <c r="E44" s="44">
        <f t="shared" si="27"/>
        <v>50270.820000000007</v>
      </c>
      <c r="F44" s="44">
        <f t="shared" si="27"/>
        <v>50876.07</v>
      </c>
      <c r="G44" s="44">
        <f t="shared" si="27"/>
        <v>50520</v>
      </c>
      <c r="H44" s="44">
        <f t="shared" si="27"/>
        <v>63247.823216013458</v>
      </c>
      <c r="I44" s="44">
        <f t="shared" si="27"/>
        <v>71163.278444082593</v>
      </c>
      <c r="J44" s="44">
        <f t="shared" si="27"/>
        <v>80057.58203981616</v>
      </c>
      <c r="K44" s="44">
        <f t="shared" si="27"/>
        <v>90078.741315350228</v>
      </c>
      <c r="L44" s="44">
        <f t="shared" si="27"/>
        <v>101397.14311081456</v>
      </c>
    </row>
    <row r="45" spans="2:12" x14ac:dyDescent="0.25">
      <c r="B45" s="39" t="str">
        <f>BS!B41</f>
        <v>CURRENT ASSETS</v>
      </c>
    </row>
    <row r="46" spans="2:12" x14ac:dyDescent="0.25">
      <c r="B46" t="str">
        <f>BS!B42</f>
        <v>Current Investments</v>
      </c>
      <c r="C46" s="38">
        <f>BS!C42</f>
        <v>1578.26</v>
      </c>
      <c r="D46" s="38">
        <f>BS!D42</f>
        <v>5143.08</v>
      </c>
      <c r="E46" s="38">
        <f>BS!E42</f>
        <v>3142.96</v>
      </c>
      <c r="F46" s="38">
        <f>BS!F42</f>
        <v>1993.5</v>
      </c>
      <c r="G46">
        <f>BS!G42</f>
        <v>2857</v>
      </c>
      <c r="H46" s="38">
        <f>H47*'P&amp;L assumptions '!G5</f>
        <v>3092.5438000212798</v>
      </c>
      <c r="I46" s="38">
        <f>I47*'P&amp;L assumptions '!H5</f>
        <v>3560.1536062227538</v>
      </c>
      <c r="J46" s="38">
        <f>J47*'P&amp;L assumptions '!I5</f>
        <v>4098.4686133834748</v>
      </c>
      <c r="K46" s="38">
        <f>K47*'P&amp;L assumptions '!J5</f>
        <v>4718.1798407600709</v>
      </c>
      <c r="L46" s="38">
        <f>L47*'P&amp;L assumptions '!K5</f>
        <v>5431.5948491251374</v>
      </c>
    </row>
    <row r="47" spans="2:12" x14ac:dyDescent="0.25">
      <c r="B47" s="40" t="str">
        <f>B35</f>
        <v xml:space="preserve">Percentage of sales </v>
      </c>
      <c r="C47" s="37">
        <f>C46/'P&amp;L assumptions '!B5</f>
        <v>5.3016772106081918E-2</v>
      </c>
      <c r="D47" s="37">
        <f>D46/'P&amp;L assumptions '!C5</f>
        <v>0.10970506796254428</v>
      </c>
      <c r="E47" s="37">
        <f>E46/'P&amp;L assumptions '!D5</f>
        <v>4.8131942313217206E-2</v>
      </c>
      <c r="F47" s="37">
        <f>F46/'P&amp;L assumptions '!E5</f>
        <v>2.7403598717288889E-2</v>
      </c>
      <c r="G47" s="37">
        <f>G46/'P&amp;L assumptions '!F5</f>
        <v>4.1484557638414965E-2</v>
      </c>
      <c r="H47" s="37">
        <f>AVERAGE($E$47:$G$47)</f>
        <v>3.900669955630702E-2</v>
      </c>
      <c r="I47" s="37">
        <f t="shared" ref="I47:L47" si="28">AVERAGE($E$47:$G$47)</f>
        <v>3.900669955630702E-2</v>
      </c>
      <c r="J47" s="37">
        <f t="shared" si="28"/>
        <v>3.900669955630702E-2</v>
      </c>
      <c r="K47" s="37">
        <f t="shared" si="28"/>
        <v>3.900669955630702E-2</v>
      </c>
      <c r="L47" s="37">
        <f t="shared" si="28"/>
        <v>3.900669955630702E-2</v>
      </c>
    </row>
    <row r="48" spans="2:12" x14ac:dyDescent="0.25">
      <c r="B48" t="str">
        <f>BS!B43</f>
        <v>Inventories</v>
      </c>
      <c r="C48" s="38">
        <f>BS!C43</f>
        <v>4551.71</v>
      </c>
      <c r="D48" s="38">
        <f>BS!D43</f>
        <v>3718.49</v>
      </c>
      <c r="E48" s="38">
        <f>BS!E43</f>
        <v>3027.9</v>
      </c>
      <c r="F48" s="38">
        <f>BS!F43</f>
        <v>3470.38</v>
      </c>
      <c r="G48" s="38">
        <f>BS!G43</f>
        <v>3154</v>
      </c>
      <c r="H48" s="38">
        <f>(H49*'P&amp;L assumptions '!G11)/365</f>
        <v>3700.5151560816194</v>
      </c>
      <c r="I48" s="38">
        <f>(I49*'P&amp;L assumptions '!H11)/365</f>
        <v>4260.0536094962599</v>
      </c>
      <c r="J48" s="38">
        <f>(J49*'P&amp;L assumptions '!I11)/365</f>
        <v>4904.1973861278884</v>
      </c>
      <c r="K48" s="38">
        <f>(K49*'P&amp;L assumptions '!J11)/365</f>
        <v>5645.7392809541643</v>
      </c>
      <c r="L48" s="38">
        <f>(L49*'P&amp;L assumptions '!K11)/365</f>
        <v>6499.4064306362025</v>
      </c>
    </row>
    <row r="49" spans="2:12" x14ac:dyDescent="0.25">
      <c r="B49" s="40" t="s">
        <v>125</v>
      </c>
      <c r="C49" s="71">
        <f>(C48/'P&amp;L assumptions '!B11)*365</f>
        <v>75.700408261834355</v>
      </c>
      <c r="D49" s="71">
        <f>(D48/'P&amp;L assumptions '!C11)*365</f>
        <v>36.76871840217332</v>
      </c>
      <c r="E49" s="71">
        <f>(E48/'P&amp;L assumptions '!D11)*365</f>
        <v>22.027946730319854</v>
      </c>
      <c r="F49" s="71">
        <f>(F48/'P&amp;L assumptions '!E11)*365</f>
        <v>23.768124834525125</v>
      </c>
      <c r="G49" s="71">
        <f>(G48/'P&amp;L assumptions '!F11)*365</f>
        <v>23.712331870893326</v>
      </c>
      <c r="H49" s="71">
        <f>AVERAGE($E$49:$G$49)</f>
        <v>23.169467811912767</v>
      </c>
      <c r="I49" s="71">
        <f t="shared" ref="I49:L49" si="29">AVERAGE($E$49:$G$49)</f>
        <v>23.169467811912767</v>
      </c>
      <c r="J49" s="71">
        <f t="shared" si="29"/>
        <v>23.169467811912767</v>
      </c>
      <c r="K49" s="71">
        <f t="shared" si="29"/>
        <v>23.169467811912767</v>
      </c>
      <c r="L49" s="71">
        <f t="shared" si="29"/>
        <v>23.169467811912767</v>
      </c>
    </row>
    <row r="50" spans="2:12" x14ac:dyDescent="0.25">
      <c r="B50" t="str">
        <f>BS!B44</f>
        <v>Trade Receivables</v>
      </c>
      <c r="C50" s="38">
        <f>BS!C44</f>
        <v>2087.5100000000002</v>
      </c>
      <c r="D50" s="38">
        <f>BS!D44</f>
        <v>2111.7800000000002</v>
      </c>
      <c r="E50" s="38">
        <f>BS!E44</f>
        <v>2307.7199999999998</v>
      </c>
      <c r="F50" s="38">
        <f>BS!F44</f>
        <v>2765.16</v>
      </c>
      <c r="G50">
        <f>BS!G44</f>
        <v>2280</v>
      </c>
      <c r="H50" s="38">
        <f>(H51*'P&amp;L assumptions '!G5)/365</f>
        <v>2813.4259958242651</v>
      </c>
      <c r="I50" s="38">
        <f>(I51*'P&amp;L assumptions '!H5)/365</f>
        <v>3238.8316391204153</v>
      </c>
      <c r="J50" s="38">
        <f>(J51*'P&amp;L assumptions '!I5)/365</f>
        <v>3728.5609794382071</v>
      </c>
      <c r="K50" s="38">
        <f>(K51*'P&amp;L assumptions '!J5)/365</f>
        <v>4292.3401171802425</v>
      </c>
      <c r="L50" s="38">
        <f>(L51*'P&amp;L assumptions '!K5)/365</f>
        <v>4941.3657931728203</v>
      </c>
    </row>
    <row r="51" spans="2:12" x14ac:dyDescent="0.25">
      <c r="B51" s="40" t="s">
        <v>126</v>
      </c>
      <c r="C51" s="71">
        <f>(C50/'P&amp;L assumptions '!B5)*365</f>
        <v>25.595060577975737</v>
      </c>
      <c r="D51" s="71">
        <f>(D50/'P&amp;L assumptions '!C5)*365</f>
        <v>16.441632926963756</v>
      </c>
      <c r="E51" s="71">
        <f>(E50/'P&amp;L assumptions '!D5)*365</f>
        <v>12.89942976016113</v>
      </c>
      <c r="F51" s="71">
        <f>(F50/'P&amp;L assumptions '!E5)*365</f>
        <v>13.87408943346926</v>
      </c>
      <c r="G51" s="71">
        <f>(G50/'P&amp;L assumptions '!F5)*365</f>
        <v>12.083811293905823</v>
      </c>
      <c r="H51" s="38">
        <f>AVERAGE($E$51:$G$51)</f>
        <v>12.952443495845406</v>
      </c>
      <c r="I51" s="38">
        <f t="shared" ref="I51:L51" si="30">AVERAGE($E$51:$G$51)</f>
        <v>12.952443495845406</v>
      </c>
      <c r="J51" s="38">
        <f t="shared" si="30"/>
        <v>12.952443495845406</v>
      </c>
      <c r="K51" s="38">
        <f t="shared" si="30"/>
        <v>12.952443495845406</v>
      </c>
      <c r="L51" s="38">
        <f t="shared" si="30"/>
        <v>12.952443495845406</v>
      </c>
    </row>
    <row r="52" spans="2:12" x14ac:dyDescent="0.25">
      <c r="B52" t="str">
        <f>BS!B45</f>
        <v>Cash And Cash Equivalents</v>
      </c>
      <c r="C52" s="38">
        <f>BS!C45</f>
        <v>4318.9399999999996</v>
      </c>
      <c r="D52" s="38">
        <f>BS!D45</f>
        <v>2605.4299999999998</v>
      </c>
      <c r="E52" s="38">
        <f>BS!E45</f>
        <v>1414.65</v>
      </c>
      <c r="F52" s="38">
        <f>BS!F45</f>
        <v>5150.96</v>
      </c>
      <c r="G52">
        <f>BS!G45</f>
        <v>1601</v>
      </c>
      <c r="H52" s="38">
        <f>H53</f>
        <v>4712.2987223917225</v>
      </c>
      <c r="I52" s="38">
        <f t="shared" ref="I52:L52" si="31">I53</f>
        <v>5212.8936448965524</v>
      </c>
      <c r="J52" s="38">
        <f t="shared" si="31"/>
        <v>5761.1446015797919</v>
      </c>
      <c r="K52" s="38">
        <f t="shared" si="31"/>
        <v>6364.2574496087464</v>
      </c>
      <c r="L52" s="38">
        <f t="shared" si="31"/>
        <v>7030.52761179349</v>
      </c>
    </row>
    <row r="53" spans="2:12" x14ac:dyDescent="0.25">
      <c r="B53" s="40" t="s">
        <v>127</v>
      </c>
      <c r="C53" s="71">
        <f>C29-C44-C46-C48-C50-C54-C56</f>
        <v>4318.9400000000023</v>
      </c>
      <c r="D53" s="71">
        <f t="shared" ref="D53:L53" si="32">D29-D44-D46-D48-D50-D54-D56</f>
        <v>2605.4300000000003</v>
      </c>
      <c r="E53" s="71">
        <f t="shared" si="32"/>
        <v>1414.6499999999912</v>
      </c>
      <c r="F53" s="71">
        <f t="shared" si="32"/>
        <v>5150.9600000000046</v>
      </c>
      <c r="G53" s="71">
        <f t="shared" si="32"/>
        <v>1601</v>
      </c>
      <c r="H53" s="71">
        <f t="shared" si="32"/>
        <v>4712.2987223917225</v>
      </c>
      <c r="I53" s="71">
        <f t="shared" si="32"/>
        <v>5212.8936448965524</v>
      </c>
      <c r="J53" s="71">
        <f t="shared" si="32"/>
        <v>5761.1446015797919</v>
      </c>
      <c r="K53" s="71">
        <f t="shared" si="32"/>
        <v>6364.2574496087464</v>
      </c>
      <c r="L53" s="71">
        <f t="shared" si="32"/>
        <v>7030.52761179349</v>
      </c>
    </row>
    <row r="54" spans="2:12" x14ac:dyDescent="0.25">
      <c r="B54" t="str">
        <f>BS!B46</f>
        <v>Short Term Loans And Advances</v>
      </c>
      <c r="C54" s="38">
        <f>BS!C46</f>
        <v>184.49</v>
      </c>
      <c r="D54" s="38">
        <f>BS!D46</f>
        <v>139.37</v>
      </c>
      <c r="E54" s="38">
        <f>BS!E46</f>
        <v>132.29</v>
      </c>
      <c r="F54" s="38">
        <f>BS!F46</f>
        <v>132.19</v>
      </c>
      <c r="G54" s="38">
        <f>BS!G46</f>
        <v>3060</v>
      </c>
      <c r="H54" s="38">
        <f>H55*'P&amp;L assumptions '!G5</f>
        <v>1275.7920587758988</v>
      </c>
      <c r="I54" s="38">
        <f>I55*'P&amp;L assumptions '!H5</f>
        <v>1468.6989069678218</v>
      </c>
      <c r="J54" s="38">
        <f>J55*'P&amp;L assumptions '!I5</f>
        <v>1690.7743424881896</v>
      </c>
      <c r="K54" s="38">
        <f>K55*'P&amp;L assumptions '!J5</f>
        <v>1946.4288178155516</v>
      </c>
      <c r="L54" s="38">
        <f>L55*'P&amp;L assumptions '!K5</f>
        <v>2240.7396703497761</v>
      </c>
    </row>
    <row r="55" spans="2:12" x14ac:dyDescent="0.25">
      <c r="B55" s="40" t="s">
        <v>128</v>
      </c>
      <c r="C55" s="81">
        <f>C54/'P&amp;L assumptions '!B5</f>
        <v>6.1973719703034055E-3</v>
      </c>
      <c r="D55" s="81">
        <f>D54/'P&amp;L assumptions '!C5</f>
        <v>2.9728480447396887E-3</v>
      </c>
      <c r="E55" s="81">
        <f>E54/'P&amp;L assumptions '!D5</f>
        <v>2.0259165400181686E-3</v>
      </c>
      <c r="F55" s="81">
        <f>F54/'P&amp;L assumptions '!E5</f>
        <v>1.8171465836159608E-3</v>
      </c>
      <c r="G55" s="81">
        <f>G54/'P&amp;L assumptions '!F5</f>
        <v>4.443218283988442E-2</v>
      </c>
      <c r="H55" s="80">
        <f>AVERAGE($E$55:$G$55)</f>
        <v>1.6091748654506185E-2</v>
      </c>
      <c r="I55" s="80">
        <f t="shared" ref="I55:L55" si="33">AVERAGE($E$55:$G$55)</f>
        <v>1.6091748654506185E-2</v>
      </c>
      <c r="J55" s="80">
        <f t="shared" si="33"/>
        <v>1.6091748654506185E-2</v>
      </c>
      <c r="K55" s="80">
        <f t="shared" si="33"/>
        <v>1.6091748654506185E-2</v>
      </c>
      <c r="L55" s="80">
        <f t="shared" si="33"/>
        <v>1.6091748654506185E-2</v>
      </c>
    </row>
    <row r="56" spans="2:12" x14ac:dyDescent="0.25">
      <c r="B56" t="str">
        <f>BS!B47</f>
        <v>OtherCurrentAssets</v>
      </c>
      <c r="C56" s="38">
        <f>BS!C47</f>
        <v>3133.68</v>
      </c>
      <c r="D56" s="38">
        <f>BS!D47</f>
        <v>1901.46</v>
      </c>
      <c r="E56" s="38">
        <f>BS!E47</f>
        <v>1474.43</v>
      </c>
      <c r="F56" s="38">
        <f>BS!F47</f>
        <v>1695.48</v>
      </c>
      <c r="G56" s="38">
        <f>BS!G47</f>
        <v>1948</v>
      </c>
      <c r="H56" s="38">
        <f>H57*'P&amp;L assumptions '!G5</f>
        <v>1960.1823954423774</v>
      </c>
      <c r="I56" s="38">
        <f>I57*'P&amp;L assumptions '!H5</f>
        <v>2256.5728653351703</v>
      </c>
      <c r="J56" s="38">
        <f>J57*'P&amp;L assumptions '!I5</f>
        <v>2597.7792211616015</v>
      </c>
      <c r="K56" s="38">
        <f>K57*'P&amp;L assumptions '!J5</f>
        <v>2990.5778738931267</v>
      </c>
      <c r="L56" s="38">
        <f>L57*'P&amp;L assumptions '!K5</f>
        <v>3442.7698654930377</v>
      </c>
    </row>
    <row r="57" spans="2:12" x14ac:dyDescent="0.25">
      <c r="B57" s="41" t="str">
        <f>B55</f>
        <v>Percentage of sales</v>
      </c>
      <c r="C57" s="42">
        <f>C56/'P&amp;L assumptions '!B5</f>
        <v>0.10526630492655632</v>
      </c>
      <c r="D57" s="42">
        <f>D56/'P&amp;L assumptions '!C5</f>
        <v>4.0559314365722382E-2</v>
      </c>
      <c r="E57" s="42">
        <f>E56/'P&amp;L assumptions '!D5</f>
        <v>2.2579727296840192E-2</v>
      </c>
      <c r="F57" s="42">
        <f>F56/'P&amp;L assumptions '!E5</f>
        <v>2.330687411747628E-2</v>
      </c>
      <c r="G57" s="42">
        <f>G56/'P&amp;L assumptions '!F5</f>
        <v>2.8285585677155178E-2</v>
      </c>
      <c r="H57" s="42">
        <f>AVERAGE($E$57:$G$57)</f>
        <v>2.4724062363823882E-2</v>
      </c>
      <c r="I57" s="42">
        <f t="shared" ref="I57:L57" si="34">AVERAGE($E$57:$G$57)</f>
        <v>2.4724062363823882E-2</v>
      </c>
      <c r="J57" s="42">
        <f t="shared" si="34"/>
        <v>2.4724062363823882E-2</v>
      </c>
      <c r="K57" s="42">
        <f t="shared" si="34"/>
        <v>2.4724062363823882E-2</v>
      </c>
      <c r="L57" s="42">
        <f t="shared" si="34"/>
        <v>2.4724062363823882E-2</v>
      </c>
    </row>
    <row r="58" spans="2:12" x14ac:dyDescent="0.25">
      <c r="B58" s="74" t="str">
        <f>BS!B48</f>
        <v>Total Current Assets</v>
      </c>
      <c r="C58" s="75">
        <f>C46+C48+C50+C52+C54+C56</f>
        <v>15854.589999999998</v>
      </c>
      <c r="D58" s="75">
        <f t="shared" ref="D58:L58" si="35">D46+D48+D50+D52+D54+D56</f>
        <v>15619.61</v>
      </c>
      <c r="E58" s="75">
        <f t="shared" si="35"/>
        <v>11499.95</v>
      </c>
      <c r="F58" s="75">
        <f t="shared" si="35"/>
        <v>15207.67</v>
      </c>
      <c r="G58" s="75">
        <f t="shared" si="35"/>
        <v>14900</v>
      </c>
      <c r="H58" s="75">
        <f t="shared" si="35"/>
        <v>17554.758128537163</v>
      </c>
      <c r="I58" s="75">
        <f t="shared" si="35"/>
        <v>19997.204272038973</v>
      </c>
      <c r="J58" s="75">
        <f t="shared" si="35"/>
        <v>22780.925144179149</v>
      </c>
      <c r="K58" s="75">
        <f t="shared" si="35"/>
        <v>25957.523380211904</v>
      </c>
      <c r="L58" s="75">
        <f t="shared" si="35"/>
        <v>29586.404220570468</v>
      </c>
    </row>
    <row r="59" spans="2:12" x14ac:dyDescent="0.25">
      <c r="B59" s="74" t="str">
        <f>BS!B49</f>
        <v>Total Assets</v>
      </c>
      <c r="C59" s="75">
        <f>C44+C58</f>
        <v>65059.659999999996</v>
      </c>
      <c r="D59" s="75">
        <f t="shared" ref="D59:L59" si="36">D44+D58</f>
        <v>63899.869999999995</v>
      </c>
      <c r="E59" s="75">
        <f t="shared" si="36"/>
        <v>61770.770000000004</v>
      </c>
      <c r="F59" s="75">
        <f t="shared" si="36"/>
        <v>66083.740000000005</v>
      </c>
      <c r="G59" s="75">
        <f t="shared" si="36"/>
        <v>65420</v>
      </c>
      <c r="H59" s="75">
        <f t="shared" si="36"/>
        <v>80802.581344550621</v>
      </c>
      <c r="I59" s="75">
        <f t="shared" si="36"/>
        <v>91160.482716121565</v>
      </c>
      <c r="J59" s="75">
        <f t="shared" si="36"/>
        <v>102838.5071839953</v>
      </c>
      <c r="K59" s="75">
        <f t="shared" si="36"/>
        <v>116036.26469556213</v>
      </c>
      <c r="L59" s="75">
        <f t="shared" si="36"/>
        <v>130983.54733138502</v>
      </c>
    </row>
  </sheetData>
  <mergeCells count="2">
    <mergeCell ref="C3:G3"/>
    <mergeCell ref="H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DE24-279D-4D18-B39A-FEA627A82BA2}">
  <dimension ref="B2:L22"/>
  <sheetViews>
    <sheetView workbookViewId="0">
      <selection activeCell="H22" sqref="H22:L22"/>
    </sheetView>
  </sheetViews>
  <sheetFormatPr defaultRowHeight="15" x14ac:dyDescent="0.25"/>
  <cols>
    <col min="2" max="2" width="38.140625" bestFit="1" customWidth="1"/>
  </cols>
  <sheetData>
    <row r="2" spans="2:12" ht="15.75" x14ac:dyDescent="0.25">
      <c r="B2" s="14" t="s">
        <v>65</v>
      </c>
      <c r="C2" s="16"/>
      <c r="D2" s="16"/>
      <c r="E2" s="16"/>
      <c r="F2" s="16"/>
      <c r="G2" s="15"/>
    </row>
    <row r="3" spans="2:12" ht="15.75" x14ac:dyDescent="0.25">
      <c r="B3" s="17"/>
      <c r="C3" s="110" t="s">
        <v>107</v>
      </c>
      <c r="D3" s="111"/>
      <c r="E3" s="111"/>
      <c r="F3" s="111"/>
      <c r="G3" s="111"/>
      <c r="H3" s="112" t="s">
        <v>108</v>
      </c>
      <c r="I3" s="112"/>
      <c r="J3" s="112"/>
      <c r="K3" s="112"/>
      <c r="L3" s="112"/>
    </row>
    <row r="4" spans="2:12" ht="15.75" x14ac:dyDescent="0.25">
      <c r="B4" s="18" t="s">
        <v>129</v>
      </c>
      <c r="C4" s="20">
        <v>44256</v>
      </c>
      <c r="D4" s="20">
        <v>44621</v>
      </c>
      <c r="E4" s="20">
        <v>44986</v>
      </c>
      <c r="F4" s="20">
        <v>45352</v>
      </c>
      <c r="G4" s="20">
        <v>45717</v>
      </c>
      <c r="H4" s="20">
        <v>46082</v>
      </c>
      <c r="I4" s="20">
        <v>46447</v>
      </c>
      <c r="J4" s="20">
        <v>46813</v>
      </c>
      <c r="K4" s="20">
        <v>47178</v>
      </c>
      <c r="L4" s="20">
        <v>47543</v>
      </c>
    </row>
    <row r="5" spans="2:12" x14ac:dyDescent="0.25">
      <c r="B5" t="str">
        <f>'P&amp;L assumptions '!A21</f>
        <v>EBIT</v>
      </c>
      <c r="C5">
        <f>'P&amp;L assumptions '!B21</f>
        <v>-276.33000000000311</v>
      </c>
      <c r="D5">
        <f>'P&amp;L assumptions '!C21</f>
        <v>-261.63999999999965</v>
      </c>
      <c r="E5">
        <f>'P&amp;L assumptions '!D21</f>
        <v>2764.1900000000032</v>
      </c>
      <c r="F5">
        <f>'P&amp;L assumptions '!E21</f>
        <v>5598.2699999999986</v>
      </c>
      <c r="G5">
        <f>'P&amp;L assumptions '!F21</f>
        <v>6003</v>
      </c>
      <c r="H5">
        <f>'P&amp;L assumptions '!G21</f>
        <v>5456.0373057644774</v>
      </c>
      <c r="I5">
        <f>'P&amp;L assumptions '!H21</f>
        <v>6281.0204627237999</v>
      </c>
      <c r="J5">
        <f>'P&amp;L assumptions '!I21</f>
        <v>7230.745657012576</v>
      </c>
      <c r="K5">
        <f>'P&amp;L assumptions '!J21</f>
        <v>8324.0745778008713</v>
      </c>
      <c r="L5">
        <f>'P&amp;L assumptions '!K21</f>
        <v>9582.7209064657345</v>
      </c>
    </row>
    <row r="6" spans="2:12" x14ac:dyDescent="0.25">
      <c r="B6" t="s">
        <v>130</v>
      </c>
      <c r="C6" s="38">
        <f>C7*C5</f>
        <v>-69.082500000000778</v>
      </c>
      <c r="D6" s="38">
        <f t="shared" ref="D6:L6" si="0">D7*D5</f>
        <v>-65.409999999999911</v>
      </c>
      <c r="E6" s="38">
        <f t="shared" si="0"/>
        <v>691.04750000000081</v>
      </c>
      <c r="F6" s="38">
        <f t="shared" si="0"/>
        <v>1399.5674999999997</v>
      </c>
      <c r="G6" s="38">
        <f t="shared" si="0"/>
        <v>1500.75</v>
      </c>
      <c r="H6" s="38">
        <f t="shared" si="0"/>
        <v>1364.0093264411194</v>
      </c>
      <c r="I6" s="38">
        <f t="shared" si="0"/>
        <v>1570.25511568095</v>
      </c>
      <c r="J6" s="38">
        <f t="shared" si="0"/>
        <v>1807.686414253144</v>
      </c>
      <c r="K6" s="38">
        <f t="shared" si="0"/>
        <v>2081.0186444502178</v>
      </c>
      <c r="L6" s="38">
        <f t="shared" si="0"/>
        <v>2395.6802266164336</v>
      </c>
    </row>
    <row r="7" spans="2:12" x14ac:dyDescent="0.25">
      <c r="B7" s="41" t="s">
        <v>117</v>
      </c>
      <c r="C7" s="42">
        <f>$H$7</f>
        <v>0.25</v>
      </c>
      <c r="D7" s="42">
        <f t="shared" ref="D7:G7" si="1">$H$7</f>
        <v>0.25</v>
      </c>
      <c r="E7" s="42">
        <f t="shared" si="1"/>
        <v>0.25</v>
      </c>
      <c r="F7" s="42">
        <f t="shared" si="1"/>
        <v>0.25</v>
      </c>
      <c r="G7" s="42">
        <f t="shared" si="1"/>
        <v>0.25</v>
      </c>
      <c r="H7" s="42">
        <v>0.25</v>
      </c>
      <c r="I7" s="42">
        <v>0.25</v>
      </c>
      <c r="J7" s="42">
        <v>0.25</v>
      </c>
      <c r="K7" s="42">
        <v>0.25</v>
      </c>
      <c r="L7" s="42">
        <v>0.25</v>
      </c>
    </row>
    <row r="8" spans="2:12" x14ac:dyDescent="0.25">
      <c r="B8" s="39" t="s">
        <v>131</v>
      </c>
      <c r="C8" s="38">
        <f>C5-C6</f>
        <v>-207.24750000000233</v>
      </c>
      <c r="D8" s="38">
        <f t="shared" ref="D8:L8" si="2">D5-D6</f>
        <v>-196.22999999999973</v>
      </c>
      <c r="E8" s="38">
        <f t="shared" si="2"/>
        <v>2073.1425000000027</v>
      </c>
      <c r="F8" s="38">
        <f t="shared" si="2"/>
        <v>4198.7024999999994</v>
      </c>
      <c r="G8" s="38">
        <f t="shared" si="2"/>
        <v>4502.25</v>
      </c>
      <c r="H8" s="38">
        <f t="shared" si="2"/>
        <v>4092.0279793233581</v>
      </c>
      <c r="I8" s="38">
        <f t="shared" si="2"/>
        <v>4710.7653470428504</v>
      </c>
      <c r="J8" s="38">
        <f t="shared" si="2"/>
        <v>5423.059242759432</v>
      </c>
      <c r="K8" s="38">
        <f t="shared" si="2"/>
        <v>6243.0559333506535</v>
      </c>
      <c r="L8" s="38">
        <f t="shared" si="2"/>
        <v>7187.0406798493004</v>
      </c>
    </row>
    <row r="9" spans="2:12" x14ac:dyDescent="0.25">
      <c r="B9" s="82" t="str">
        <f>'P&amp;L assumptions '!A19</f>
        <v>Depreciation And Amortisation Expenses</v>
      </c>
      <c r="C9" s="83">
        <f>'P&amp;L assumptions '!B19</f>
        <v>1730.71</v>
      </c>
      <c r="D9" s="83">
        <f>'P&amp;L assumptions '!C19</f>
        <v>1760.57</v>
      </c>
      <c r="E9" s="83">
        <f>'P&amp;L assumptions '!D19</f>
        <v>1766.86</v>
      </c>
      <c r="F9" s="83">
        <f>'P&amp;L assumptions '!E19</f>
        <v>2016.84</v>
      </c>
      <c r="G9" s="83">
        <f>'P&amp;L assumptions '!F19</f>
        <v>2008</v>
      </c>
      <c r="H9" s="83">
        <f>'P&amp;L assumptions '!G19</f>
        <v>2218.3025636442021</v>
      </c>
      <c r="I9" s="83">
        <f>'P&amp;L assumptions '!H19</f>
        <v>2553.7222372070341</v>
      </c>
      <c r="J9" s="83">
        <f>'P&amp;L assumptions '!I19</f>
        <v>2939.8592291631571</v>
      </c>
      <c r="K9" s="83">
        <f>'P&amp;L assumptions '!J19</f>
        <v>3384.3822798630817</v>
      </c>
      <c r="L9" s="83">
        <f>'P&amp;L assumptions '!K19</f>
        <v>3896.1196858094704</v>
      </c>
    </row>
    <row r="10" spans="2:12" x14ac:dyDescent="0.25">
      <c r="B10" s="39" t="s">
        <v>132</v>
      </c>
      <c r="C10" s="38">
        <f>C8+C9</f>
        <v>1523.4624999999978</v>
      </c>
      <c r="D10" s="38">
        <f t="shared" ref="D10:L10" si="3">D8+D9</f>
        <v>1564.3400000000001</v>
      </c>
      <c r="E10" s="38">
        <f t="shared" si="3"/>
        <v>3840.0025000000023</v>
      </c>
      <c r="F10" s="38">
        <f t="shared" si="3"/>
        <v>6215.5424999999996</v>
      </c>
      <c r="G10" s="38">
        <f t="shared" si="3"/>
        <v>6510.25</v>
      </c>
      <c r="H10" s="38">
        <f t="shared" si="3"/>
        <v>6310.3305429675602</v>
      </c>
      <c r="I10" s="38">
        <f t="shared" si="3"/>
        <v>7264.4875842498841</v>
      </c>
      <c r="J10" s="38">
        <f t="shared" si="3"/>
        <v>8362.9184719225887</v>
      </c>
      <c r="K10" s="38">
        <f t="shared" si="3"/>
        <v>9627.4382132137362</v>
      </c>
      <c r="L10" s="38">
        <f t="shared" si="3"/>
        <v>11083.16036565877</v>
      </c>
    </row>
    <row r="11" spans="2:12" x14ac:dyDescent="0.25">
      <c r="B11" t="s">
        <v>133</v>
      </c>
      <c r="D11" s="38">
        <f>'Balance sheet Assumption '!D33-'Balance sheet Assumption '!C33+'P&amp;L assumptions '!C19</f>
        <v>-12125.990000000002</v>
      </c>
      <c r="E11" s="38">
        <f>'Balance sheet Assumption '!E33-'Balance sheet Assumption '!D33+'P&amp;L assumptions '!D19</f>
        <v>1851.1300000000003</v>
      </c>
      <c r="F11" s="38">
        <f>'Balance sheet Assumption '!F33-'Balance sheet Assumption '!E33+'P&amp;L assumptions '!E19</f>
        <v>1967.5699999999995</v>
      </c>
      <c r="G11" s="38">
        <f>'Balance sheet Assumption '!G33-'Balance sheet Assumption '!F33+'P&amp;L assumptions '!F19</f>
        <v>2369</v>
      </c>
      <c r="H11" s="38">
        <f>'Balance sheet Assumption '!H33-'Balance sheet Assumption '!G33+'P&amp;L assumptions '!G19</f>
        <v>4379.501976750098</v>
      </c>
      <c r="I11" s="38">
        <f>'Balance sheet Assumption '!I33-'Balance sheet Assumption '!H33+'P&amp;L assumptions '!H19</f>
        <v>5290.5729617504494</v>
      </c>
      <c r="J11" s="38">
        <f>'Balance sheet Assumption '!J33-'Balance sheet Assumption '!I33+'P&amp;L assumptions '!I19</f>
        <v>6090.5369904965737</v>
      </c>
      <c r="K11" s="38">
        <f>'Balance sheet Assumption '!K33-'Balance sheet Assumption '!J33+'P&amp;L assumptions '!J19</f>
        <v>7011.460025368192</v>
      </c>
      <c r="L11" s="38">
        <f>'Balance sheet Assumption '!L33-'Balance sheet Assumption '!K33+'P&amp;L assumptions '!K19</f>
        <v>8071.6317401970155</v>
      </c>
    </row>
    <row r="12" spans="2:12" x14ac:dyDescent="0.25">
      <c r="B12" s="39" t="s">
        <v>134</v>
      </c>
    </row>
    <row r="13" spans="2:12" x14ac:dyDescent="0.25">
      <c r="B13" s="40" t="str">
        <f>'Balance sheet Assumption '!B20</f>
        <v>Short Term Borrowings</v>
      </c>
      <c r="D13" s="38">
        <f>'Balance sheet Assumption '!D20-'Balance sheet Assumption '!C20</f>
        <v>3707.96</v>
      </c>
      <c r="E13" s="38">
        <f>'Balance sheet Assumption '!E20-'Balance sheet Assumption '!D20</f>
        <v>-703.17000000000007</v>
      </c>
      <c r="F13" s="38">
        <f>'Balance sheet Assumption '!F20-'Balance sheet Assumption '!E20</f>
        <v>108.63000000000102</v>
      </c>
      <c r="G13" s="38">
        <f>'Balance sheet Assumption '!G20-'Balance sheet Assumption '!F20</f>
        <v>-3553.3700000000008</v>
      </c>
      <c r="H13" s="38">
        <f>'Balance sheet Assumption '!H20-'Balance sheet Assumption '!G20</f>
        <v>3440.9685747536023</v>
      </c>
      <c r="I13" s="38">
        <f>'Balance sheet Assumption '!I20-'Balance sheet Assumption '!H20</f>
        <v>1273.599650506012</v>
      </c>
      <c r="J13" s="38">
        <f>'Balance sheet Assumption '!J20-'Balance sheet Assumption '!I20</f>
        <v>1466.1749943854684</v>
      </c>
      <c r="K13" s="38">
        <f>'Balance sheet Assumption '!K20-'Balance sheet Assumption '!J20</f>
        <v>1687.8688002993313</v>
      </c>
      <c r="L13" s="38">
        <f>'Balance sheet Assumption '!L20-'Balance sheet Assumption '!K20</f>
        <v>1943.0839415031678</v>
      </c>
    </row>
    <row r="14" spans="2:12" x14ac:dyDescent="0.25">
      <c r="B14" s="40" t="str">
        <f>'Balance sheet Assumption '!B22</f>
        <v>Trade Payables</v>
      </c>
      <c r="D14" s="38">
        <f>'Balance sheet Assumption '!D22-'Balance sheet Assumption '!C22</f>
        <v>-2012.9099999999999</v>
      </c>
      <c r="E14" s="38">
        <f>'Balance sheet Assumption '!E22-'Balance sheet Assumption '!D22</f>
        <v>1060.5</v>
      </c>
      <c r="F14" s="38">
        <f>'Balance sheet Assumption '!F22-'Balance sheet Assumption '!E22</f>
        <v>1663.8599999999988</v>
      </c>
      <c r="G14" s="38">
        <f>'Balance sheet Assumption '!G22-'Balance sheet Assumption '!F22</f>
        <v>4440.5400000000009</v>
      </c>
      <c r="H14" s="38">
        <f>'Balance sheet Assumption '!H22-'Balance sheet Assumption '!G22</f>
        <v>-1964.3498414793939</v>
      </c>
      <c r="I14" s="38">
        <f>'Balance sheet Assumption '!I22-'Balance sheet Assumption '!H22</f>
        <v>1709.0235068465354</v>
      </c>
      <c r="J14" s="38">
        <f>'Balance sheet Assumption '!J22-'Balance sheet Assumption '!I22</f>
        <v>1967.437357225881</v>
      </c>
      <c r="K14" s="38">
        <f>'Balance sheet Assumption '!K22-'Balance sheet Assumption '!J22</f>
        <v>2264.9248176523379</v>
      </c>
      <c r="L14" s="38">
        <f>'Balance sheet Assumption '!L22-'Balance sheet Assumption '!K22</f>
        <v>2607.394035076537</v>
      </c>
    </row>
    <row r="15" spans="2:12" x14ac:dyDescent="0.25">
      <c r="B15" s="40" t="str">
        <f>'Balance sheet Assumption '!B24</f>
        <v>Other Current Liabilities</v>
      </c>
      <c r="D15" s="38">
        <f>'Balance sheet Assumption '!D24-'Balance sheet Assumption '!C24</f>
        <v>-518.30999999999949</v>
      </c>
      <c r="E15" s="38">
        <f>'Balance sheet Assumption '!E24-'Balance sheet Assumption '!D24</f>
        <v>-1347.4400000000005</v>
      </c>
      <c r="F15" s="38">
        <f>'Balance sheet Assumption '!F24-'Balance sheet Assumption '!E24</f>
        <v>-974.88999999999942</v>
      </c>
      <c r="G15" s="38">
        <f>'Balance sheet Assumption '!G24-'Balance sheet Assumption '!F24</f>
        <v>-4790.41</v>
      </c>
      <c r="H15" s="38">
        <f>'Balance sheet Assumption '!H24-'Balance sheet Assumption '!G24</f>
        <v>4686.5981841187167</v>
      </c>
      <c r="I15" s="38">
        <f>'Balance sheet Assumption '!I24-'Balance sheet Assumption '!H24</f>
        <v>1319.5101345519543</v>
      </c>
      <c r="J15" s="38">
        <f>'Balance sheet Assumption '!J24-'Balance sheet Assumption '!I24</f>
        <v>1519.0273987195524</v>
      </c>
      <c r="K15" s="38">
        <f>'Balance sheet Assumption '!K24-'Balance sheet Assumption '!J24</f>
        <v>1748.7127818417212</v>
      </c>
      <c r="L15" s="38">
        <f>'Balance sheet Assumption '!L24-'Balance sheet Assumption '!K24</f>
        <v>2013.1278711327523</v>
      </c>
    </row>
    <row r="16" spans="2:12" x14ac:dyDescent="0.25">
      <c r="B16" s="40" t="str">
        <f>'Balance sheet Assumption '!B26</f>
        <v>Short Term Provisions</v>
      </c>
      <c r="D16" s="38">
        <f>'Balance sheet Assumption '!D26-'Balance sheet Assumption '!C26</f>
        <v>-435.48</v>
      </c>
      <c r="E16" s="38">
        <f>'Balance sheet Assumption '!E26-'Balance sheet Assumption '!D26</f>
        <v>-199.16999999999996</v>
      </c>
      <c r="F16" s="38">
        <f>'Balance sheet Assumption '!F26-'Balance sheet Assumption '!E26</f>
        <v>725.03000000000009</v>
      </c>
      <c r="G16" s="38">
        <f>'Balance sheet Assumption '!G26-'Balance sheet Assumption '!F26</f>
        <v>1001.0799999999999</v>
      </c>
      <c r="H16" s="38">
        <f>'Balance sheet Assumption '!H26-'Balance sheet Assumption '!G26</f>
        <v>-738.30576575892223</v>
      </c>
      <c r="I16" s="38">
        <f>'Balance sheet Assumption '!I26-'Balance sheet Assumption '!H26</f>
        <v>211.18792891201497</v>
      </c>
      <c r="J16" s="38">
        <f>'Balance sheet Assumption '!J26-'Balance sheet Assumption '!I26</f>
        <v>243.12071722368182</v>
      </c>
      <c r="K16" s="38">
        <f>'Balance sheet Assumption '!K26-'Balance sheet Assumption '!J26</f>
        <v>279.88192056177058</v>
      </c>
      <c r="L16" s="38">
        <f>'Balance sheet Assumption '!L26-'Balance sheet Assumption '!K26</f>
        <v>322.20162210723856</v>
      </c>
    </row>
    <row r="17" spans="2:12" x14ac:dyDescent="0.25">
      <c r="B17" t="str">
        <f>'Balance sheet Assumption '!B48</f>
        <v>Inventories</v>
      </c>
      <c r="D17" s="38">
        <f>'Balance sheet Assumption '!D48-'Balance sheet Assumption '!C48</f>
        <v>-833.22000000000025</v>
      </c>
      <c r="E17" s="38">
        <f>'Balance sheet Assumption '!E48-'Balance sheet Assumption '!D48</f>
        <v>-690.58999999999969</v>
      </c>
      <c r="F17" s="38">
        <f>'Balance sheet Assumption '!F48-'Balance sheet Assumption '!E48</f>
        <v>442.48</v>
      </c>
      <c r="G17" s="38">
        <f>'Balance sheet Assumption '!G48-'Balance sheet Assumption '!F48</f>
        <v>-316.38000000000011</v>
      </c>
      <c r="H17" s="38">
        <f>'Balance sheet Assumption '!H48-'Balance sheet Assumption '!G48</f>
        <v>546.51515608161935</v>
      </c>
      <c r="I17" s="38">
        <f>'Balance sheet Assumption '!I48-'Balance sheet Assumption '!H48</f>
        <v>559.53845341464057</v>
      </c>
      <c r="J17" s="38">
        <f>'Balance sheet Assumption '!J48-'Balance sheet Assumption '!I48</f>
        <v>644.1437766316285</v>
      </c>
      <c r="K17" s="38">
        <f>'Balance sheet Assumption '!K48-'Balance sheet Assumption '!J48</f>
        <v>741.54189482627589</v>
      </c>
      <c r="L17" s="38">
        <f>'Balance sheet Assumption '!L48-'Balance sheet Assumption '!K48</f>
        <v>853.66714968203814</v>
      </c>
    </row>
    <row r="18" spans="2:12" x14ac:dyDescent="0.25">
      <c r="B18" t="str">
        <f>'Balance sheet Assumption '!B50</f>
        <v>Trade Receivables</v>
      </c>
      <c r="D18" s="38">
        <f>'Balance sheet Assumption '!D50-'Balance sheet Assumption '!C50</f>
        <v>24.269999999999982</v>
      </c>
      <c r="E18" s="38">
        <f>'Balance sheet Assumption '!E50-'Balance sheet Assumption '!D50</f>
        <v>195.9399999999996</v>
      </c>
      <c r="F18" s="38">
        <f>'Balance sheet Assumption '!F50-'Balance sheet Assumption '!E50</f>
        <v>457.44000000000005</v>
      </c>
      <c r="G18" s="38">
        <f>'Balance sheet Assumption '!G50-'Balance sheet Assumption '!F50</f>
        <v>-485.15999999999985</v>
      </c>
      <c r="H18" s="38">
        <f>'Balance sheet Assumption '!H50-'Balance sheet Assumption '!G50</f>
        <v>533.4259958242651</v>
      </c>
      <c r="I18" s="38">
        <f>'Balance sheet Assumption '!I50-'Balance sheet Assumption '!H50</f>
        <v>425.40564329615017</v>
      </c>
      <c r="J18" s="38">
        <f>'Balance sheet Assumption '!J50-'Balance sheet Assumption '!I50</f>
        <v>489.72934031779187</v>
      </c>
      <c r="K18" s="38">
        <f>'Balance sheet Assumption '!K50-'Balance sheet Assumption '!J50</f>
        <v>563.77913774203535</v>
      </c>
      <c r="L18" s="38">
        <f>'Balance sheet Assumption '!L50-'Balance sheet Assumption '!K50</f>
        <v>649.02567599257782</v>
      </c>
    </row>
    <row r="19" spans="2:12" x14ac:dyDescent="0.25">
      <c r="B19" t="str">
        <f>'Balance sheet Assumption '!B54</f>
        <v>Short Term Loans And Advances</v>
      </c>
      <c r="D19" s="38">
        <f>'Balance sheet Assumption '!D54-'Balance sheet Assumption '!C54</f>
        <v>-45.120000000000005</v>
      </c>
      <c r="E19" s="38">
        <f>'Balance sheet Assumption '!E54-'Balance sheet Assumption '!D54</f>
        <v>-7.0800000000000125</v>
      </c>
      <c r="F19" s="38">
        <f>'Balance sheet Assumption '!F54-'Balance sheet Assumption '!E54</f>
        <v>-9.9999999999994316E-2</v>
      </c>
      <c r="G19" s="38">
        <f>'Balance sheet Assumption '!G54-'Balance sheet Assumption '!F54</f>
        <v>2927.81</v>
      </c>
      <c r="H19" s="38">
        <f>'Balance sheet Assumption '!H54-'Balance sheet Assumption '!G54</f>
        <v>-1784.2079412241012</v>
      </c>
      <c r="I19" s="38">
        <f>'Balance sheet Assumption '!I54-'Balance sheet Assumption '!H54</f>
        <v>192.90684819192302</v>
      </c>
      <c r="J19" s="38">
        <f>'Balance sheet Assumption '!J54-'Balance sheet Assumption '!I54</f>
        <v>222.07543552036782</v>
      </c>
      <c r="K19" s="38">
        <f>'Balance sheet Assumption '!K54-'Balance sheet Assumption '!J54</f>
        <v>255.65447532736198</v>
      </c>
      <c r="L19" s="38">
        <f>'Balance sheet Assumption '!L54-'Balance sheet Assumption '!K54</f>
        <v>294.31085253422452</v>
      </c>
    </row>
    <row r="20" spans="2:12" x14ac:dyDescent="0.25">
      <c r="B20" s="82" t="str">
        <f>'Balance sheet Assumption '!B56</f>
        <v>OtherCurrentAssets</v>
      </c>
      <c r="C20" s="82"/>
      <c r="D20" s="83">
        <f>'Balance sheet Assumption '!D56-'Balance sheet Assumption '!C56</f>
        <v>-1232.2199999999998</v>
      </c>
      <c r="E20" s="83">
        <f>'Balance sheet Assumption '!E56-'Balance sheet Assumption '!D56</f>
        <v>-427.03</v>
      </c>
      <c r="F20" s="83">
        <f>'Balance sheet Assumption '!F56-'Balance sheet Assumption '!E56</f>
        <v>221.04999999999995</v>
      </c>
      <c r="G20" s="83">
        <f>'Balance sheet Assumption '!G56-'Balance sheet Assumption '!F56</f>
        <v>252.51999999999998</v>
      </c>
      <c r="H20" s="83">
        <f>'Balance sheet Assumption '!H56-'Balance sheet Assumption '!G56</f>
        <v>12.182395442377356</v>
      </c>
      <c r="I20" s="83">
        <f>'Balance sheet Assumption '!I56-'Balance sheet Assumption '!H56</f>
        <v>296.39046989279291</v>
      </c>
      <c r="J20" s="83">
        <f>'Balance sheet Assumption '!J56-'Balance sheet Assumption '!I56</f>
        <v>341.20635582643126</v>
      </c>
      <c r="K20" s="83">
        <f>'Balance sheet Assumption '!K56-'Balance sheet Assumption '!J56</f>
        <v>392.79865273152518</v>
      </c>
      <c r="L20" s="83">
        <f>'Balance sheet Assumption '!L56-'Balance sheet Assumption '!K56</f>
        <v>452.19199159991103</v>
      </c>
    </row>
    <row r="21" spans="2:12" x14ac:dyDescent="0.25">
      <c r="B21" s="39" t="s">
        <v>135</v>
      </c>
      <c r="D21" s="84">
        <f>(SUM(D13:D16)-(SUM(D17:D20)))</f>
        <v>2827.5500000000006</v>
      </c>
      <c r="E21" s="84">
        <f t="shared" ref="E21:L21" si="4">(SUM(E13:E16)-(SUM(E17:E20)))</f>
        <v>-260.52000000000055</v>
      </c>
      <c r="F21" s="84">
        <f t="shared" si="4"/>
        <v>401.76000000000067</v>
      </c>
      <c r="G21" s="84">
        <f t="shared" si="4"/>
        <v>-5280.95</v>
      </c>
      <c r="H21" s="84">
        <f t="shared" si="4"/>
        <v>6116.9955455098425</v>
      </c>
      <c r="I21" s="84">
        <f t="shared" si="4"/>
        <v>3039.07980602101</v>
      </c>
      <c r="J21" s="84">
        <f t="shared" si="4"/>
        <v>3498.6055592583643</v>
      </c>
      <c r="K21" s="84">
        <f t="shared" si="4"/>
        <v>4027.6141597279629</v>
      </c>
      <c r="L21" s="84">
        <f t="shared" si="4"/>
        <v>4636.6118000109445</v>
      </c>
    </row>
    <row r="22" spans="2:12" x14ac:dyDescent="0.25">
      <c r="B22" s="39" t="s">
        <v>136</v>
      </c>
      <c r="C22" s="39"/>
      <c r="D22" s="44">
        <f>D10-D11+D21</f>
        <v>16517.88</v>
      </c>
      <c r="E22" s="44">
        <f t="shared" ref="E22:L22" si="5">E10-E11+E21</f>
        <v>1728.3525000000013</v>
      </c>
      <c r="F22" s="44">
        <f t="shared" si="5"/>
        <v>4649.7325000000001</v>
      </c>
      <c r="G22" s="44">
        <f t="shared" si="5"/>
        <v>-1139.6999999999998</v>
      </c>
      <c r="H22" s="44">
        <f t="shared" si="5"/>
        <v>8047.8241117273046</v>
      </c>
      <c r="I22" s="44">
        <f t="shared" si="5"/>
        <v>5012.9944285204447</v>
      </c>
      <c r="J22" s="44">
        <f t="shared" si="5"/>
        <v>5770.9870406843793</v>
      </c>
      <c r="K22" s="44">
        <f t="shared" si="5"/>
        <v>6643.5923475735071</v>
      </c>
      <c r="L22" s="44">
        <f t="shared" si="5"/>
        <v>7648.1404254726995</v>
      </c>
    </row>
  </sheetData>
  <mergeCells count="2">
    <mergeCell ref="C3:G3"/>
    <mergeCell ref="H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0168F-36F5-4873-845C-B26C606085A8}">
  <dimension ref="B2:J26"/>
  <sheetViews>
    <sheetView topLeftCell="A16" zoomScale="180" zoomScaleNormal="180" workbookViewId="0">
      <selection activeCell="C19" sqref="C19"/>
    </sheetView>
  </sheetViews>
  <sheetFormatPr defaultRowHeight="15" x14ac:dyDescent="0.25"/>
  <cols>
    <col min="2" max="2" width="26.42578125" customWidth="1"/>
  </cols>
  <sheetData>
    <row r="2" spans="2:10" x14ac:dyDescent="0.25">
      <c r="B2" s="113" t="s">
        <v>137</v>
      </c>
      <c r="C2" s="113"/>
      <c r="D2" s="113"/>
      <c r="E2" s="113"/>
      <c r="F2" s="113"/>
      <c r="G2" s="113"/>
      <c r="H2" s="113"/>
      <c r="I2" s="113"/>
      <c r="J2" s="113"/>
    </row>
    <row r="4" spans="2:10" x14ac:dyDescent="0.25">
      <c r="B4" s="114" t="s">
        <v>138</v>
      </c>
      <c r="C4" s="114"/>
      <c r="D4" s="114"/>
      <c r="E4" s="114"/>
      <c r="F4" s="114"/>
      <c r="G4" s="114"/>
    </row>
    <row r="5" spans="2:10" ht="15.75" x14ac:dyDescent="0.25">
      <c r="C5" s="20">
        <v>44256</v>
      </c>
      <c r="D5" s="20">
        <v>44621</v>
      </c>
      <c r="E5" s="20">
        <v>44986</v>
      </c>
      <c r="F5" s="20">
        <v>45352</v>
      </c>
      <c r="G5" s="20">
        <v>45717</v>
      </c>
    </row>
    <row r="6" spans="2:10" x14ac:dyDescent="0.25">
      <c r="B6" t="str">
        <f>'P&amp;L assumptions '!A22</f>
        <v>Finance Costs</v>
      </c>
      <c r="C6" s="38">
        <f>'P&amp;L assumptions '!B22</f>
        <v>2110.83</v>
      </c>
      <c r="D6" s="38">
        <f>'P&amp;L assumptions '!C22</f>
        <v>2121.73</v>
      </c>
      <c r="E6" s="38">
        <f>'P&amp;L assumptions '!D22</f>
        <v>2047.51</v>
      </c>
      <c r="F6" s="38">
        <f>'P&amp;L assumptions '!E22</f>
        <v>1705.74</v>
      </c>
      <c r="G6">
        <f>'P&amp;L assumptions '!F22</f>
        <v>1122</v>
      </c>
    </row>
    <row r="7" spans="2:10" x14ac:dyDescent="0.25">
      <c r="C7" s="38"/>
      <c r="D7" s="38"/>
      <c r="E7" s="38"/>
      <c r="F7" s="38"/>
    </row>
    <row r="8" spans="2:10" x14ac:dyDescent="0.25">
      <c r="B8" t="str">
        <f>'Balance sheet Assumption '!B20</f>
        <v>Short Term Borrowings</v>
      </c>
      <c r="C8" s="38">
        <f>'Balance sheet Assumption '!C20</f>
        <v>5421.95</v>
      </c>
      <c r="D8" s="38">
        <f>'Balance sheet Assumption '!D20</f>
        <v>9129.91</v>
      </c>
      <c r="E8" s="38">
        <f>'Balance sheet Assumption '!E20</f>
        <v>8426.74</v>
      </c>
      <c r="F8" s="38">
        <f>'Balance sheet Assumption '!F20</f>
        <v>8535.3700000000008</v>
      </c>
      <c r="G8" s="38">
        <f>'Balance sheet Assumption '!G20</f>
        <v>4982</v>
      </c>
    </row>
    <row r="9" spans="2:10" x14ac:dyDescent="0.25">
      <c r="B9" s="82" t="str">
        <f>'Balance sheet Assumption '!B10</f>
        <v>Long Term Borrowings</v>
      </c>
      <c r="C9" s="83">
        <f>'Balance sheet Assumption '!C10</f>
        <v>16326.77</v>
      </c>
      <c r="D9" s="83">
        <f>'Balance sheet Assumption '!D10</f>
        <v>14102.74</v>
      </c>
      <c r="E9" s="83">
        <f>'Balance sheet Assumption '!E10</f>
        <v>10445.700000000001</v>
      </c>
      <c r="F9" s="83">
        <f>'Balance sheet Assumption '!F10</f>
        <v>5235.67</v>
      </c>
      <c r="G9" s="82">
        <f>'Balance sheet Assumption '!G10</f>
        <v>3626</v>
      </c>
    </row>
    <row r="10" spans="2:10" x14ac:dyDescent="0.25">
      <c r="B10" s="39" t="s">
        <v>139</v>
      </c>
      <c r="C10" s="44">
        <f>C8+C9</f>
        <v>21748.720000000001</v>
      </c>
      <c r="D10" s="44">
        <f t="shared" ref="D10:G10" si="0">D8+D9</f>
        <v>23232.65</v>
      </c>
      <c r="E10" s="44">
        <f t="shared" si="0"/>
        <v>18872.440000000002</v>
      </c>
      <c r="F10" s="44">
        <f t="shared" si="0"/>
        <v>13771.04</v>
      </c>
      <c r="G10" s="44">
        <f t="shared" si="0"/>
        <v>8608</v>
      </c>
    </row>
    <row r="12" spans="2:10" x14ac:dyDescent="0.25">
      <c r="B12" t="s">
        <v>140</v>
      </c>
      <c r="C12" s="36">
        <f>C6/C10</f>
        <v>9.7055366936536949E-2</v>
      </c>
      <c r="D12" s="36">
        <f t="shared" ref="D12:G12" si="1">D6/D10</f>
        <v>9.1325354619468724E-2</v>
      </c>
      <c r="E12" s="36">
        <f t="shared" si="1"/>
        <v>0.10849206567884173</v>
      </c>
      <c r="F12" s="36">
        <f t="shared" si="1"/>
        <v>0.1238642833075788</v>
      </c>
      <c r="G12" s="36">
        <f t="shared" si="1"/>
        <v>0.13034386617100371</v>
      </c>
    </row>
    <row r="13" spans="2:10" x14ac:dyDescent="0.25">
      <c r="B13" t="s">
        <v>117</v>
      </c>
      <c r="C13" s="36">
        <v>0.25</v>
      </c>
      <c r="D13" s="36"/>
      <c r="E13" s="36"/>
      <c r="F13" s="36"/>
      <c r="G13" s="36"/>
    </row>
    <row r="15" spans="2:10" x14ac:dyDescent="0.25">
      <c r="B15" s="86" t="s">
        <v>141</v>
      </c>
      <c r="C15" s="87">
        <f>AVERAGE($E$12:$G$12)</f>
        <v>0.12090007171914141</v>
      </c>
    </row>
    <row r="16" spans="2:10" x14ac:dyDescent="0.25">
      <c r="B16" s="86" t="s">
        <v>146</v>
      </c>
      <c r="C16" s="87">
        <f>C15*(1-C13)</f>
        <v>9.0675053789356058E-2</v>
      </c>
    </row>
    <row r="18" spans="2:7" x14ac:dyDescent="0.25">
      <c r="B18" s="114" t="s">
        <v>142</v>
      </c>
      <c r="C18" s="114"/>
      <c r="D18" s="114"/>
      <c r="E18" s="114"/>
      <c r="F18" s="114"/>
      <c r="G18" s="114"/>
    </row>
    <row r="19" spans="2:7" x14ac:dyDescent="0.25">
      <c r="B19" s="85"/>
      <c r="C19" s="88">
        <f>'Balance sheet Assumption '!C4</f>
        <v>44256</v>
      </c>
      <c r="D19" s="88">
        <f>'Balance sheet Assumption '!D4</f>
        <v>44621</v>
      </c>
      <c r="E19" s="88">
        <f>'Balance sheet Assumption '!E4</f>
        <v>44986</v>
      </c>
      <c r="F19" s="88">
        <f>'Balance sheet Assumption '!F4</f>
        <v>45352</v>
      </c>
      <c r="G19" s="88">
        <f>'Balance sheet Assumption '!G4</f>
        <v>45717</v>
      </c>
    </row>
    <row r="20" spans="2:7" x14ac:dyDescent="0.25">
      <c r="B20" t="str">
        <f>'Balance sheet Assumption '!B6</f>
        <v>Total Shareholders Funds</v>
      </c>
      <c r="C20">
        <f>'Balance sheet Assumption '!C6</f>
        <v>19055.97</v>
      </c>
      <c r="D20">
        <f>'Balance sheet Assumption '!D6</f>
        <v>19937.759999999998</v>
      </c>
      <c r="E20">
        <f>'Balance sheet Assumption '!E6</f>
        <v>22467.39</v>
      </c>
      <c r="F20">
        <f>'Balance sheet Assumption '!F6</f>
        <v>30141.33</v>
      </c>
      <c r="G20">
        <f>'Balance sheet Assumption '!G6</f>
        <v>33441</v>
      </c>
    </row>
    <row r="21" spans="2:7" x14ac:dyDescent="0.25">
      <c r="B21" t="s">
        <v>143</v>
      </c>
      <c r="C21" s="36">
        <f>6.88%+1.82*(7.31%-6.88%)</f>
        <v>7.6626E-2</v>
      </c>
    </row>
    <row r="23" spans="2:7" x14ac:dyDescent="0.25">
      <c r="B23" t="s">
        <v>144</v>
      </c>
      <c r="C23">
        <f>C20/C10</f>
        <v>0.87618811589831491</v>
      </c>
      <c r="D23">
        <f t="shared" ref="D23:G23" si="2">D20/D10</f>
        <v>0.85817846866371239</v>
      </c>
      <c r="E23">
        <f t="shared" si="2"/>
        <v>1.1904867627079485</v>
      </c>
      <c r="F23">
        <f t="shared" si="2"/>
        <v>2.1887475455739001</v>
      </c>
      <c r="G23">
        <f t="shared" si="2"/>
        <v>3.8848745353159853</v>
      </c>
    </row>
    <row r="25" spans="2:7" x14ac:dyDescent="0.25">
      <c r="B25" s="89" t="s">
        <v>145</v>
      </c>
      <c r="C25" s="90">
        <f>((((C20/(C20+C10))*$C$21)+((C10/(C10+C20))*$C$16)))</f>
        <v>8.4114083774920079E-2</v>
      </c>
      <c r="D25" s="90">
        <f t="shared" ref="D25:G25" si="3">((((D20/(D20+D10))*$C$21)+((D10/(D10+D20))*$C$16)))</f>
        <v>8.4186659014340665E-2</v>
      </c>
      <c r="E25" s="90">
        <f t="shared" si="3"/>
        <v>8.3039667513784998E-2</v>
      </c>
      <c r="F25" s="90">
        <f t="shared" si="3"/>
        <v>8.1031821906113785E-2</v>
      </c>
      <c r="G25" s="90">
        <f t="shared" si="3"/>
        <v>7.9502031653993596E-2</v>
      </c>
    </row>
    <row r="26" spans="2:7" x14ac:dyDescent="0.25">
      <c r="B26" s="91" t="s">
        <v>147</v>
      </c>
      <c r="C26" s="92">
        <f>AVERAGE($E$25:$G$25)</f>
        <v>8.1191173691297469E-2</v>
      </c>
    </row>
  </sheetData>
  <mergeCells count="3">
    <mergeCell ref="B2:J2"/>
    <mergeCell ref="B4:G4"/>
    <mergeCell ref="B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9844-6E6E-4E25-AC71-1A4FB1743D2F}">
  <dimension ref="B1:N23"/>
  <sheetViews>
    <sheetView tabSelected="1" topLeftCell="A3" zoomScale="110" zoomScaleNormal="110" workbookViewId="0">
      <selection activeCell="I19" sqref="I19"/>
    </sheetView>
  </sheetViews>
  <sheetFormatPr defaultRowHeight="15" x14ac:dyDescent="0.25"/>
  <cols>
    <col min="2" max="2" width="22" bestFit="1" customWidth="1"/>
    <col min="6" max="6" width="31.140625" bestFit="1" customWidth="1"/>
  </cols>
  <sheetData>
    <row r="1" spans="2:14" ht="18.75" x14ac:dyDescent="0.3">
      <c r="D1" s="104" t="s">
        <v>148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</row>
    <row r="3" spans="2:14" x14ac:dyDescent="0.25">
      <c r="B3" s="93" t="str">
        <f>WACC!B26</f>
        <v>Average WACC</v>
      </c>
      <c r="C3" s="100">
        <f>WACC!C26</f>
        <v>8.1191173691297469E-2</v>
      </c>
    </row>
    <row r="4" spans="2:14" x14ac:dyDescent="0.25">
      <c r="B4" s="94" t="s">
        <v>153</v>
      </c>
      <c r="C4" s="95">
        <v>0.05</v>
      </c>
      <c r="G4" s="40">
        <v>1</v>
      </c>
      <c r="H4" s="40">
        <v>2</v>
      </c>
      <c r="I4" s="40">
        <v>3</v>
      </c>
      <c r="J4" s="40">
        <v>4</v>
      </c>
      <c r="K4" s="40">
        <v>5</v>
      </c>
    </row>
    <row r="5" spans="2:14" x14ac:dyDescent="0.25">
      <c r="B5" s="94"/>
      <c r="C5" s="95"/>
      <c r="G5" s="96">
        <f>'FREE CASH FLOW'!H4</f>
        <v>46082</v>
      </c>
      <c r="H5" s="96">
        <f>'FREE CASH FLOW'!I4</f>
        <v>46447</v>
      </c>
      <c r="I5" s="96">
        <f>'FREE CASH FLOW'!J4</f>
        <v>46813</v>
      </c>
      <c r="J5" s="96">
        <f>'FREE CASH FLOW'!K4</f>
        <v>47178</v>
      </c>
      <c r="K5" s="96">
        <f>'FREE CASH FLOW'!L4</f>
        <v>47543</v>
      </c>
    </row>
    <row r="6" spans="2:14" x14ac:dyDescent="0.25">
      <c r="F6" s="39" t="str">
        <f>'FREE CASH FLOW'!B22</f>
        <v>FREE CASH FLOW OF THE FIRM</v>
      </c>
      <c r="G6" s="38">
        <f>'FREE CASH FLOW'!H22</f>
        <v>8047.8241117273046</v>
      </c>
      <c r="H6" s="38">
        <f>'FREE CASH FLOW'!I22</f>
        <v>5012.9944285204447</v>
      </c>
      <c r="I6" s="38">
        <f>'FREE CASH FLOW'!J22</f>
        <v>5770.9870406843793</v>
      </c>
      <c r="J6" s="38">
        <f>'FREE CASH FLOW'!K22</f>
        <v>6643.5923475735071</v>
      </c>
      <c r="K6" s="38">
        <f>'FREE CASH FLOW'!L22</f>
        <v>7648.1404254726995</v>
      </c>
    </row>
    <row r="7" spans="2:14" x14ac:dyDescent="0.25">
      <c r="F7" s="97" t="s">
        <v>149</v>
      </c>
      <c r="G7" s="82">
        <f>((1/(1+$C$3))^G4)</f>
        <v>0.92490581160212182</v>
      </c>
      <c r="H7" s="82">
        <f t="shared" ref="H7:K7" si="0">((1/(1+$C$3))^H4)</f>
        <v>0.8554507603353797</v>
      </c>
      <c r="I7" s="82">
        <f t="shared" si="0"/>
        <v>0.79121137977364653</v>
      </c>
      <c r="J7" s="82">
        <f t="shared" si="0"/>
        <v>0.73179600335837924</v>
      </c>
      <c r="K7" s="82">
        <f t="shared" si="0"/>
        <v>0.67684237641337086</v>
      </c>
    </row>
    <row r="8" spans="2:14" x14ac:dyDescent="0.25">
      <c r="F8" s="39" t="s">
        <v>150</v>
      </c>
      <c r="G8" s="38">
        <f>G6*G7</f>
        <v>7443.4792916882679</v>
      </c>
      <c r="H8" s="38">
        <f t="shared" ref="H8:K8" si="1">H6*H7</f>
        <v>4288.3698954348365</v>
      </c>
      <c r="I8" s="38">
        <f t="shared" si="1"/>
        <v>4566.0706191157205</v>
      </c>
      <c r="J8" s="38">
        <f t="shared" si="1"/>
        <v>4861.754327896605</v>
      </c>
      <c r="K8" s="38">
        <f t="shared" si="1"/>
        <v>5176.5855407201116</v>
      </c>
    </row>
    <row r="11" spans="2:14" x14ac:dyDescent="0.25">
      <c r="E11">
        <v>1</v>
      </c>
      <c r="F11" t="s">
        <v>151</v>
      </c>
      <c r="G11" s="38">
        <f>SUM(G8:K8)</f>
        <v>26336.259674855544</v>
      </c>
    </row>
    <row r="12" spans="2:14" x14ac:dyDescent="0.25">
      <c r="E12">
        <v>2</v>
      </c>
      <c r="F12" t="s">
        <v>152</v>
      </c>
      <c r="G12" s="38">
        <f>((K6*(1+C4))/(C3-C4))</f>
        <v>257462.1758778801</v>
      </c>
    </row>
    <row r="13" spans="2:14" x14ac:dyDescent="0.25">
      <c r="E13">
        <v>3</v>
      </c>
      <c r="F13" t="s">
        <v>154</v>
      </c>
      <c r="G13" s="38">
        <f>G12*K7</f>
        <v>174261.3109577416</v>
      </c>
    </row>
    <row r="14" spans="2:14" x14ac:dyDescent="0.25">
      <c r="E14">
        <v>4</v>
      </c>
      <c r="F14" s="98" t="s">
        <v>155</v>
      </c>
      <c r="G14" s="99">
        <f>G11+G13</f>
        <v>200597.57063259714</v>
      </c>
    </row>
    <row r="16" spans="2:14" x14ac:dyDescent="0.25">
      <c r="F16" s="105" t="s">
        <v>156</v>
      </c>
      <c r="G16" s="105"/>
      <c r="H16" s="105"/>
      <c r="I16" s="105"/>
      <c r="J16" s="105"/>
      <c r="K16" s="105"/>
    </row>
    <row r="18" spans="6:11" x14ac:dyDescent="0.25">
      <c r="F18" s="103">
        <f>G14</f>
        <v>200597.57063259714</v>
      </c>
      <c r="G18" s="101">
        <v>0.08</v>
      </c>
      <c r="H18" s="101">
        <v>0.09</v>
      </c>
      <c r="I18" s="101">
        <v>0.1</v>
      </c>
      <c r="J18" s="101">
        <v>0.11</v>
      </c>
      <c r="K18" s="101">
        <v>0.12</v>
      </c>
    </row>
    <row r="19" spans="6:11" x14ac:dyDescent="0.25">
      <c r="F19" s="102">
        <v>0.05</v>
      </c>
      <c r="G19" s="38">
        <f t="dataTable" ref="G19:K23" dt2D="1" dtr="1" r1="C3" r2="C4"/>
        <v>208601.00903927532</v>
      </c>
      <c r="H19" s="38">
        <v>156218.7985368045</v>
      </c>
      <c r="I19" s="38">
        <v>124808.3216672352</v>
      </c>
      <c r="J19" s="38">
        <v>103882.76998763881</v>
      </c>
      <c r="K19" s="38">
        <v>88947.847717133365</v>
      </c>
    </row>
    <row r="20" spans="6:11" x14ac:dyDescent="0.25">
      <c r="F20" s="102">
        <v>0.06</v>
      </c>
      <c r="G20" s="38">
        <v>302294.53455763863</v>
      </c>
      <c r="H20" s="38">
        <v>201369.92766323584</v>
      </c>
      <c r="I20" s="38">
        <v>150927.23576283213</v>
      </c>
      <c r="J20" s="38">
        <v>120676.32663053673</v>
      </c>
      <c r="K20" s="38">
        <v>100520.54178038744</v>
      </c>
    </row>
    <row r="21" spans="6:11" x14ac:dyDescent="0.25">
      <c r="F21" s="102">
        <v>7.0000000000000007E-2</v>
      </c>
      <c r="G21" s="38">
        <v>583375.11111272906</v>
      </c>
      <c r="H21" s="38">
        <v>291672.18591609853</v>
      </c>
      <c r="I21" s="38">
        <v>194458.75925549376</v>
      </c>
      <c r="J21" s="38">
        <v>145866.66159488368</v>
      </c>
      <c r="K21" s="38">
        <v>116722.31346894319</v>
      </c>
    </row>
    <row r="22" spans="6:11" x14ac:dyDescent="0.25">
      <c r="F22" s="102">
        <v>0.08</v>
      </c>
      <c r="G22" s="38" t="e">
        <v>#DIV/0!</v>
      </c>
      <c r="H22" s="38">
        <v>562578.96067468659</v>
      </c>
      <c r="I22" s="38">
        <v>281521.80624081683</v>
      </c>
      <c r="J22" s="38">
        <v>187850.55320212856</v>
      </c>
      <c r="K22" s="38">
        <v>141024.97100177678</v>
      </c>
    </row>
    <row r="23" spans="6:11" x14ac:dyDescent="0.25">
      <c r="F23" s="102">
        <v>0.09</v>
      </c>
      <c r="G23" s="38">
        <v>-540947.19510763162</v>
      </c>
      <c r="H23" s="38" t="e">
        <v>#DIV/0!</v>
      </c>
      <c r="I23" s="38">
        <v>542710.94719678594</v>
      </c>
      <c r="J23" s="38">
        <v>271818.33641661832</v>
      </c>
      <c r="K23" s="38">
        <v>181529.4002231661</v>
      </c>
    </row>
  </sheetData>
  <mergeCells count="2">
    <mergeCell ref="D1:N1"/>
    <mergeCell ref="F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</vt:lpstr>
      <vt:lpstr>BS</vt:lpstr>
      <vt:lpstr>P&amp;L assumptions </vt:lpstr>
      <vt:lpstr>Balance sheet Assumption </vt:lpstr>
      <vt:lpstr>FREE CASH FLOW</vt:lpstr>
      <vt:lpstr>WACC</vt:lpstr>
      <vt:lpstr>Ev &amp; Sesnsitivity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BANERJEE</dc:creator>
  <cp:lastModifiedBy>SANDEEP BANERJEE</cp:lastModifiedBy>
  <dcterms:created xsi:type="dcterms:W3CDTF">2015-06-05T18:17:20Z</dcterms:created>
  <dcterms:modified xsi:type="dcterms:W3CDTF">2026-09-10T09:11:47Z</dcterms:modified>
</cp:coreProperties>
</file>